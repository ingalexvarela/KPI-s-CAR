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 Varela\Pictures\JULIO\AGOSTO\Página KPIS\KPI-s-CAR\datos\"/>
    </mc:Choice>
  </mc:AlternateContent>
  <xr:revisionPtr revIDLastSave="0" documentId="13_ncr:1_{F80FE0E4-4F5F-4E64-8A05-3232BFB4D8D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eguimiento" sheetId="3" r:id="rId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3" l="1"/>
  <c r="D28" i="3"/>
  <c r="B28" i="3"/>
  <c r="E25" i="3"/>
  <c r="B27" i="3" s="1"/>
</calcChain>
</file>

<file path=xl/sharedStrings.xml><?xml version="1.0" encoding="utf-8"?>
<sst xmlns="http://schemas.openxmlformats.org/spreadsheetml/2006/main" count="89" uniqueCount="75">
  <si>
    <t>SEGUIMIENTO MENSUAL – CHECKLIST DE CUMPLIMIENTO</t>
  </si>
  <si>
    <t>Marque la casilla Cumplido cuando el control del mes esté completo. Use N/A únicamente cuando el indicador no corresponda al periodo.</t>
  </si>
  <si>
    <t>Mes:</t>
  </si>
  <si>
    <t>Responsable:</t>
  </si>
  <si>
    <t>Jefatura:</t>
  </si>
  <si>
    <t>N.°</t>
  </si>
  <si>
    <t>Aspecto de seguimiento</t>
  </si>
  <si>
    <t>Indicador / criterio mensual</t>
  </si>
  <si>
    <t>Meta</t>
  </si>
  <si>
    <t>Cumplido</t>
  </si>
  <si>
    <t>N/A</t>
  </si>
  <si>
    <t>Observaciones / pendientes</t>
  </si>
  <si>
    <t>CUMPLIMIENTO GENERAL MENSUAL</t>
  </si>
  <si>
    <t>Pendientes</t>
  </si>
  <si>
    <t>No aplica</t>
  </si>
  <si>
    <t>Ingeniería Eléctrica</t>
  </si>
  <si>
    <t>Fecha</t>
  </si>
  <si>
    <t>Total</t>
  </si>
  <si>
    <t>COORDINACIÓN DE CUADRILLAS ELÉCTRICAS</t>
  </si>
  <si>
    <t/>
  </si>
  <si>
    <t>Registro y coordinación de maniobras, desconexiones y restablecimientos conforme a procedimiento</t>
  </si>
  <si>
    <t>PCB’s</t>
  </si>
  <si>
    <t>Fauna</t>
  </si>
  <si>
    <t>Identificación y reporte de faltantes o desviaciones de materiales requeridos</t>
  </si>
  <si>
    <t>Leonardo Arrieta Carranza</t>
  </si>
  <si>
    <t>Registro actualizado de cambios físicos y activos incorporados o modificados en la red y proyectos</t>
  </si>
  <si>
    <t>Coordinación de la unidad de derrama</t>
  </si>
  <si>
    <t>Control de permisos y vacaciones (Linieros y unidad de derrama)</t>
  </si>
  <si>
    <t>Registro mensual de permisos, vacaciones y ausencias del personal con forme disponibilidad y programación</t>
  </si>
  <si>
    <t>Control de materiales retirados, utilizados y devueltos por cada cuadrilla, sin perdida de activos.</t>
  </si>
  <si>
    <t>Presentar la programación mensual de trabajos, responsables, recursos y prioridades por cuadrilla</t>
  </si>
  <si>
    <t>% de consumo de combustible mensual registrado por movil</t>
  </si>
  <si>
    <t>Control y registro de equipos o materiales asociados a PCB y cierre con éxito de la campaña</t>
  </si>
  <si>
    <t>Registro y seguimiento de eventos o acciones relacionadas con fauna y cierre con éxito de la campaña</t>
  </si>
  <si>
    <t>Registro y seguimiento de los trabajos de la unidad de derrama</t>
  </si>
  <si>
    <t xml:space="preserve">Verificación del estado, Deckra, Mantenimiento y Reportes a la jefatura para la ejecución de mantenimientos </t>
  </si>
  <si>
    <t>Registro y coordinación oportuna de averías, emergencias, mantenimientos y trabajos programados en Ordenes de trabajo</t>
  </si>
  <si>
    <t>Planificación, autorización y comunicación de paros programados, y ejecución sin desviaciones según minuta</t>
  </si>
  <si>
    <t>Verificación en campo del cumplimiento de procedimientos y medidas de seguridad, reportar anomalias o incumplimientos</t>
  </si>
  <si>
    <t>Seguimiento de avance, cierre y control de calidad de los trabajos ejecutados y reporte de anomalias o incumplimientos</t>
  </si>
  <si>
    <t>Seguimiento de la ejecución de proyectos, hacer cierre y control de los mismos.</t>
  </si>
  <si>
    <t>Seguimiento del estado, avance y cierre de las órdenes de trabajo asignadas en CRM conforme proceso.</t>
  </si>
  <si>
    <t>Verificación del estado, mantenimiento de la herramientas, reposiciones y reportes de perdidas</t>
  </si>
  <si>
    <t>100% de permisos, vacaciones y ausencias conocidos registrados en el control de personal, con fecha y autorización correspondiente.</t>
  </si>
  <si>
    <t>100% de móviles con revisión mensual documentada del estado, vencimientos y necesidades de mantenimiento; anomalías reportadas a jefatura.</t>
  </si>
  <si>
    <t>Mantenimiento de móviles</t>
  </si>
  <si>
    <t>Inventario de herramientas</t>
  </si>
  <si>
    <t>100% de inventarios programados ejecutados y documentados, con faltantes, daños y necesidades de reposición reportados.</t>
  </si>
  <si>
    <t>Control de materiales (retiro, devolución y control cruzado con bodega)</t>
  </si>
  <si>
    <t>100% de retiros y devoluciones respaldados en boletas; y documentadas por entrega de proyecto o bien en OT de averia.</t>
  </si>
  <si>
    <t>Órdenes de trabajo CRM</t>
  </si>
  <si>
    <t>Al menos 85% de órdenes asignadas atendidas dentro del plazo definido y 100% con estado actualizado y evidencia de gestión.</t>
  </si>
  <si>
    <t>Averías y emergencias</t>
  </si>
  <si>
    <t>100% de eventos recibidos registrados y canalizados conforme a prioridad y procedimiento, con fecha, responsable y seguimiento.</t>
  </si>
  <si>
    <t>Programación semanal</t>
  </si>
  <si>
    <t>100% de programaciones semanales entregadas antes del inicio de la semana, con trabajos, prioridades, responsables y recursos.</t>
  </si>
  <si>
    <t>Maniobras eléctricas</t>
  </si>
  <si>
    <t>100% de maniobras coordinadas con autorización, registro y verificación documental del procedimiento aplicable.</t>
  </si>
  <si>
    <t>Paros programados</t>
  </si>
  <si>
    <t>100% de paros bajo su coordinación con autorización y comunicación documentadas dentro de los plazos establecidos.</t>
  </si>
  <si>
    <t>Seguridad laboral</t>
  </si>
  <si>
    <t>100% de inspecciones de seguridad programadas realizadas, documentadas y con incumplimientos comunicados para su corrección.</t>
  </si>
  <si>
    <t>Calidad de trabajos</t>
  </si>
  <si>
    <t>100% de órdenes cerradas sujetas al control de calidad definido, con revisión documentada y reporte de hallazgos.</t>
  </si>
  <si>
    <t>Control de proyectos</t>
  </si>
  <si>
    <t>100% de proyectos asignados con avance mensual actualizado, pendientes identificados y cierre documentado cuando corresponda.</t>
  </si>
  <si>
    <t>Actualización GIS</t>
  </si>
  <si>
    <t>100% de cambios de red reportados al encargado GIS mediante registro con ubicación, descripción y fecha, dentro del plazo de 4 días trans el cierre.</t>
  </si>
  <si>
    <t>Combustible</t>
  </si>
  <si>
    <t>100% de consumos registrados por móvil y revisión mensual de variaciones con justificación de diferencias detectadas.</t>
  </si>
  <si>
    <t>Existencias mínimas de stock por mantenimiento</t>
  </si>
  <si>
    <t>100% de faltantes detectados en las revisiones programadas reportados a bodega y jefatura, con seguimiento documentado.</t>
  </si>
  <si>
    <t>100% de casos asignados con registro, estado y seguimiento actualizado; acciones ejecutadas respaldadas documentalmente.</t>
  </si>
  <si>
    <t>100% de eventos reportados registrados, clasificados y gestionados conforme al procedimiento establecido.</t>
  </si>
  <si>
    <t>100% de trabajos asignados con programación, seguimiento de ejecución y estado de cierre documentados.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</si>
</sst>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0"/>
      <color rgb="FF666666"/>
      <name val="Calibri"/>
      <family val="2"/>
      <scheme val="minor"/>
    </font>
    <font>
      <b/>
      <sz val="11"/>
      <color rgb="FF17365D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8"/>
      <color rgb="FF17365D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666666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E2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3" borderId="0" xfId="0" applyFont="1" applyFill="1" applyAlignment="1">
      <alignment horizontal="left"/>
    </xf>
    <xf numFmtId="0" fontId="5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5" borderId="0" xfId="0" applyFont="1" applyFill="1" applyAlignment="1">
      <alignment vertical="center" wrapText="1"/>
    </xf>
    <xf numFmtId="9" fontId="6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vertical="top" wrapText="1"/>
    </xf>
    <xf numFmtId="0" fontId="0" fillId="0" borderId="2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10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17" fontId="11" fillId="4" borderId="1" xfId="0" applyNumberFormat="1" applyFont="1" applyFill="1" applyBorder="1" applyAlignment="1">
      <alignment horizontal="left"/>
    </xf>
    <xf numFmtId="0" fontId="11" fillId="4" borderId="1" xfId="0" applyFont="1" applyFill="1" applyBorder="1" applyAlignment="1">
      <alignment horizontal="left"/>
    </xf>
    <xf numFmtId="0" fontId="11" fillId="4" borderId="1" xfId="0" applyFont="1" applyFill="1" applyBorder="1"/>
    <xf numFmtId="15" fontId="11" fillId="4" borderId="1" xfId="0" applyNumberFormat="1" applyFont="1" applyFill="1" applyBorder="1" applyAlignment="1">
      <alignment horizontal="left"/>
    </xf>
    <xf numFmtId="0" fontId="3" fillId="3" borderId="0" xfId="0" applyFont="1" applyFill="1" applyAlignment="1">
      <alignment horizontal="right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4">
    <dxf>
      <font>
        <color rgb="FFC00000"/>
      </font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ont>
        <color rgb="FF999999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7C944-DFC4-43B8-856E-B7EEB5BE22D7}">
  <sheetPr>
    <pageSetUpPr fitToPage="1"/>
  </sheetPr>
  <dimension ref="A1:G28"/>
  <sheetViews>
    <sheetView showGridLines="0" tabSelected="1" zoomScaleNormal="100" workbookViewId="0">
      <pane ySplit="5" topLeftCell="A13" activePane="bottomLeft" state="frozen"/>
      <selection pane="bottomLeft" activeCell="B24" sqref="B24"/>
    </sheetView>
  </sheetViews>
  <sheetFormatPr baseColWidth="10" defaultColWidth="8.88671875" defaultRowHeight="14.4" x14ac:dyDescent="0.3"/>
  <cols>
    <col min="1" max="1" width="5.5546875" style="8" customWidth="1"/>
    <col min="2" max="2" width="72.109375" customWidth="1"/>
    <col min="3" max="3" width="104.6640625" customWidth="1"/>
    <col min="4" max="4" width="48.109375" style="30" customWidth="1"/>
    <col min="5" max="5" width="10.6640625" style="6" customWidth="1"/>
    <col min="6" max="6" width="9.77734375" style="6" customWidth="1"/>
    <col min="7" max="7" width="34.44140625" customWidth="1"/>
  </cols>
  <sheetData>
    <row r="1" spans="1:7" ht="21" x14ac:dyDescent="0.3">
      <c r="A1" s="23" t="s">
        <v>0</v>
      </c>
      <c r="B1" s="23"/>
      <c r="C1" s="23"/>
      <c r="D1" s="23"/>
      <c r="E1" s="23"/>
      <c r="F1" s="23"/>
      <c r="G1" s="23"/>
    </row>
    <row r="2" spans="1:7" x14ac:dyDescent="0.3">
      <c r="A2" s="24" t="s">
        <v>1</v>
      </c>
      <c r="B2" s="24"/>
      <c r="C2" s="24"/>
      <c r="D2" s="24"/>
      <c r="E2" s="24"/>
      <c r="F2" s="24"/>
      <c r="G2" s="24"/>
    </row>
    <row r="3" spans="1:7" ht="15.6" x14ac:dyDescent="0.3">
      <c r="A3" s="7" t="s">
        <v>2</v>
      </c>
      <c r="B3" s="25">
        <v>46316</v>
      </c>
      <c r="C3" s="26"/>
      <c r="D3" s="29" t="s">
        <v>3</v>
      </c>
      <c r="E3" s="27" t="s">
        <v>24</v>
      </c>
      <c r="F3" s="27"/>
      <c r="G3" s="27"/>
    </row>
    <row r="4" spans="1:7" ht="15.6" x14ac:dyDescent="0.3">
      <c r="A4" s="7" t="s">
        <v>16</v>
      </c>
      <c r="B4" s="28">
        <v>46325</v>
      </c>
      <c r="C4" s="26"/>
      <c r="D4" s="29" t="s">
        <v>4</v>
      </c>
      <c r="E4" s="27" t="s">
        <v>15</v>
      </c>
      <c r="F4" s="27"/>
      <c r="G4" s="27"/>
    </row>
    <row r="5" spans="1:7" ht="34.950000000000003" customHeight="1" x14ac:dyDescent="0.3">
      <c r="A5" s="2" t="s">
        <v>5</v>
      </c>
      <c r="B5" s="2" t="s">
        <v>6</v>
      </c>
      <c r="C5" s="2" t="s">
        <v>7</v>
      </c>
      <c r="D5" s="2" t="s">
        <v>8</v>
      </c>
      <c r="E5" s="9" t="s">
        <v>9</v>
      </c>
      <c r="F5" s="9" t="s">
        <v>10</v>
      </c>
      <c r="G5" s="2" t="s">
        <v>11</v>
      </c>
    </row>
    <row r="6" spans="1:7" ht="13.8" customHeight="1" x14ac:dyDescent="0.3">
      <c r="A6" s="20" t="s">
        <v>18</v>
      </c>
      <c r="B6" s="20"/>
      <c r="C6" s="20"/>
      <c r="D6" s="20"/>
      <c r="E6" s="20"/>
      <c r="F6" s="20"/>
      <c r="G6" s="20"/>
    </row>
    <row r="7" spans="1:7" ht="43.2" customHeight="1" x14ac:dyDescent="0.3">
      <c r="A7" s="12">
        <v>1</v>
      </c>
      <c r="B7" s="13" t="s">
        <v>27</v>
      </c>
      <c r="C7" s="14" t="s">
        <v>28</v>
      </c>
      <c r="D7" s="15" t="s">
        <v>43</v>
      </c>
      <c r="E7" s="16" t="b">
        <v>1</v>
      </c>
      <c r="F7" s="16" t="b">
        <v>0</v>
      </c>
      <c r="G7" s="17" t="s">
        <v>19</v>
      </c>
    </row>
    <row r="8" spans="1:7" ht="45.6" customHeight="1" x14ac:dyDescent="0.3">
      <c r="A8" s="12">
        <v>2</v>
      </c>
      <c r="B8" s="13" t="s">
        <v>45</v>
      </c>
      <c r="C8" s="14" t="s">
        <v>35</v>
      </c>
      <c r="D8" s="15" t="s">
        <v>44</v>
      </c>
      <c r="E8" s="16" t="b">
        <v>1</v>
      </c>
      <c r="F8" s="16" t="b">
        <v>0</v>
      </c>
      <c r="G8" s="17" t="s">
        <v>19</v>
      </c>
    </row>
    <row r="9" spans="1:7" ht="46.8" customHeight="1" x14ac:dyDescent="0.3">
      <c r="A9" s="12">
        <v>3</v>
      </c>
      <c r="B9" s="13" t="s">
        <v>46</v>
      </c>
      <c r="C9" s="14" t="s">
        <v>42</v>
      </c>
      <c r="D9" s="15" t="s">
        <v>47</v>
      </c>
      <c r="E9" s="16" t="b">
        <v>1</v>
      </c>
      <c r="F9" s="16" t="b">
        <v>0</v>
      </c>
      <c r="G9" s="17" t="s">
        <v>19</v>
      </c>
    </row>
    <row r="10" spans="1:7" ht="52.8" customHeight="1" x14ac:dyDescent="0.3">
      <c r="A10" s="12">
        <v>4</v>
      </c>
      <c r="B10" s="13" t="s">
        <v>48</v>
      </c>
      <c r="C10" s="14" t="s">
        <v>29</v>
      </c>
      <c r="D10" s="15" t="s">
        <v>49</v>
      </c>
      <c r="E10" s="16" t="b">
        <v>1</v>
      </c>
      <c r="F10" s="16" t="b">
        <v>0</v>
      </c>
      <c r="G10" s="17" t="s">
        <v>19</v>
      </c>
    </row>
    <row r="11" spans="1:7" ht="45.6" customHeight="1" x14ac:dyDescent="0.3">
      <c r="A11" s="12">
        <v>5</v>
      </c>
      <c r="B11" s="13" t="s">
        <v>50</v>
      </c>
      <c r="C11" s="14" t="s">
        <v>41</v>
      </c>
      <c r="D11" s="15" t="s">
        <v>51</v>
      </c>
      <c r="E11" s="16" t="b">
        <v>1</v>
      </c>
      <c r="F11" s="16" t="b">
        <v>0</v>
      </c>
      <c r="G11" s="17" t="s">
        <v>19</v>
      </c>
    </row>
    <row r="12" spans="1:7" ht="48" customHeight="1" x14ac:dyDescent="0.3">
      <c r="A12" s="12">
        <v>6</v>
      </c>
      <c r="B12" s="13" t="s">
        <v>52</v>
      </c>
      <c r="C12" s="14" t="s">
        <v>36</v>
      </c>
      <c r="D12" s="15" t="s">
        <v>53</v>
      </c>
      <c r="E12" s="16" t="b">
        <v>1</v>
      </c>
      <c r="F12" s="16" t="b">
        <v>0</v>
      </c>
      <c r="G12" s="17" t="s">
        <v>19</v>
      </c>
    </row>
    <row r="13" spans="1:7" ht="48" customHeight="1" x14ac:dyDescent="0.3">
      <c r="A13" s="12">
        <v>8</v>
      </c>
      <c r="B13" s="13" t="s">
        <v>54</v>
      </c>
      <c r="C13" s="14" t="s">
        <v>30</v>
      </c>
      <c r="D13" s="15" t="s">
        <v>55</v>
      </c>
      <c r="E13" s="16" t="b">
        <v>1</v>
      </c>
      <c r="F13" s="16" t="b">
        <v>0</v>
      </c>
      <c r="G13" s="17" t="s">
        <v>19</v>
      </c>
    </row>
    <row r="14" spans="1:7" ht="44.4" customHeight="1" x14ac:dyDescent="0.3">
      <c r="A14" s="12">
        <v>9</v>
      </c>
      <c r="B14" s="13" t="s">
        <v>56</v>
      </c>
      <c r="C14" s="14" t="s">
        <v>20</v>
      </c>
      <c r="D14" s="15" t="s">
        <v>57</v>
      </c>
      <c r="E14" s="16" t="b">
        <v>1</v>
      </c>
      <c r="F14" s="16" t="b">
        <v>0</v>
      </c>
      <c r="G14" s="17" t="s">
        <v>19</v>
      </c>
    </row>
    <row r="15" spans="1:7" ht="44.4" customHeight="1" x14ac:dyDescent="0.3">
      <c r="A15" s="12">
        <v>10</v>
      </c>
      <c r="B15" s="13" t="s">
        <v>58</v>
      </c>
      <c r="C15" s="14" t="s">
        <v>37</v>
      </c>
      <c r="D15" s="15" t="s">
        <v>59</v>
      </c>
      <c r="E15" s="16" t="b">
        <v>1</v>
      </c>
      <c r="F15" s="16" t="b">
        <v>0</v>
      </c>
      <c r="G15" s="17" t="s">
        <v>19</v>
      </c>
    </row>
    <row r="16" spans="1:7" ht="48" customHeight="1" x14ac:dyDescent="0.3">
      <c r="A16" s="12">
        <v>11</v>
      </c>
      <c r="B16" s="13" t="s">
        <v>60</v>
      </c>
      <c r="C16" s="14" t="s">
        <v>38</v>
      </c>
      <c r="D16" s="15" t="s">
        <v>61</v>
      </c>
      <c r="E16" s="16" t="b">
        <v>1</v>
      </c>
      <c r="F16" s="16" t="b">
        <v>0</v>
      </c>
      <c r="G16" s="17" t="s">
        <v>19</v>
      </c>
    </row>
    <row r="17" spans="1:7" ht="43.8" customHeight="1" x14ac:dyDescent="0.3">
      <c r="A17" s="12">
        <v>12</v>
      </c>
      <c r="B17" s="13" t="s">
        <v>62</v>
      </c>
      <c r="C17" s="14" t="s">
        <v>39</v>
      </c>
      <c r="D17" s="15" t="s">
        <v>63</v>
      </c>
      <c r="E17" s="16" t="b">
        <v>1</v>
      </c>
      <c r="F17" s="16" t="b">
        <v>0</v>
      </c>
      <c r="G17" s="17" t="s">
        <v>19</v>
      </c>
    </row>
    <row r="18" spans="1:7" ht="48.6" customHeight="1" x14ac:dyDescent="0.3">
      <c r="A18" s="12">
        <v>13</v>
      </c>
      <c r="B18" s="13" t="s">
        <v>64</v>
      </c>
      <c r="C18" s="14" t="s">
        <v>40</v>
      </c>
      <c r="D18" s="15" t="s">
        <v>65</v>
      </c>
      <c r="E18" s="16" t="b">
        <v>1</v>
      </c>
      <c r="F18" s="16" t="b">
        <v>0</v>
      </c>
      <c r="G18" s="17"/>
    </row>
    <row r="19" spans="1:7" ht="48.6" customHeight="1" x14ac:dyDescent="0.3">
      <c r="A19" s="12">
        <v>14</v>
      </c>
      <c r="B19" s="13" t="s">
        <v>66</v>
      </c>
      <c r="C19" s="14" t="s">
        <v>25</v>
      </c>
      <c r="D19" s="15" t="s">
        <v>67</v>
      </c>
      <c r="E19" s="16" t="b">
        <v>1</v>
      </c>
      <c r="F19" s="16" t="b">
        <v>0</v>
      </c>
      <c r="G19" s="17" t="s">
        <v>19</v>
      </c>
    </row>
    <row r="20" spans="1:7" ht="47.4" customHeight="1" x14ac:dyDescent="0.3">
      <c r="A20" s="12">
        <v>15</v>
      </c>
      <c r="B20" s="13" t="s">
        <v>68</v>
      </c>
      <c r="C20" s="14" t="s">
        <v>31</v>
      </c>
      <c r="D20" s="15" t="s">
        <v>69</v>
      </c>
      <c r="E20" s="16" t="b">
        <v>1</v>
      </c>
      <c r="F20" s="16" t="b">
        <v>0</v>
      </c>
      <c r="G20" s="17"/>
    </row>
    <row r="21" spans="1:7" ht="48" customHeight="1" x14ac:dyDescent="0.3">
      <c r="A21" s="12">
        <v>16</v>
      </c>
      <c r="B21" s="13" t="s">
        <v>70</v>
      </c>
      <c r="C21" s="14" t="s">
        <v>23</v>
      </c>
      <c r="D21" s="15" t="s">
        <v>71</v>
      </c>
      <c r="E21" s="16" t="b">
        <v>1</v>
      </c>
      <c r="F21" s="16" t="b">
        <v>0</v>
      </c>
      <c r="G21" s="17"/>
    </row>
    <row r="22" spans="1:7" s="5" customFormat="1" ht="48.6" customHeight="1" x14ac:dyDescent="0.3">
      <c r="A22" s="12">
        <v>17</v>
      </c>
      <c r="B22" s="13" t="s">
        <v>21</v>
      </c>
      <c r="C22" s="14" t="s">
        <v>32</v>
      </c>
      <c r="D22" s="18" t="s">
        <v>72</v>
      </c>
      <c r="E22" s="16" t="b">
        <v>1</v>
      </c>
      <c r="F22" s="16" t="b">
        <v>0</v>
      </c>
      <c r="G22" s="19" t="s">
        <v>19</v>
      </c>
    </row>
    <row r="23" spans="1:7" s="5" customFormat="1" ht="32.4" customHeight="1" x14ac:dyDescent="0.3">
      <c r="A23" s="12">
        <v>18</v>
      </c>
      <c r="B23" s="13" t="s">
        <v>22</v>
      </c>
      <c r="C23" s="14" t="s">
        <v>33</v>
      </c>
      <c r="D23" s="18" t="s">
        <v>73</v>
      </c>
      <c r="E23" s="16" t="b">
        <v>1</v>
      </c>
      <c r="F23" s="16" t="b">
        <v>0</v>
      </c>
      <c r="G23" s="19" t="s">
        <v>19</v>
      </c>
    </row>
    <row r="24" spans="1:7" s="5" customFormat="1" ht="45" customHeight="1" x14ac:dyDescent="0.3">
      <c r="A24" s="12">
        <v>19</v>
      </c>
      <c r="B24" s="13" t="s">
        <v>26</v>
      </c>
      <c r="C24" s="14" t="s">
        <v>34</v>
      </c>
      <c r="D24" s="18" t="s">
        <v>74</v>
      </c>
      <c r="E24" s="16" t="b">
        <v>1</v>
      </c>
      <c r="F24" s="16" t="b">
        <v>0</v>
      </c>
      <c r="G24" s="19" t="s">
        <v>19</v>
      </c>
    </row>
    <row r="25" spans="1:7" ht="17.399999999999999" customHeight="1" x14ac:dyDescent="0.3">
      <c r="A25" s="21" t="s">
        <v>12</v>
      </c>
      <c r="B25" s="22"/>
      <c r="C25" s="22"/>
      <c r="D25" s="22"/>
      <c r="E25" s="10">
        <f>IFERROR(COUNTIFS(E7:E24,TRUE,F7:F24,FALSE)/COUNTIF(F7:F24,FALSE),0)</f>
        <v>1</v>
      </c>
      <c r="F25" s="22"/>
      <c r="G25" s="22"/>
    </row>
    <row r="27" spans="1:7" ht="37.799999999999997" customHeight="1" x14ac:dyDescent="0.3">
      <c r="B27" s="4">
        <f>E25</f>
        <v>1</v>
      </c>
    </row>
    <row r="28" spans="1:7" ht="19.95" customHeight="1" x14ac:dyDescent="0.3">
      <c r="A28" s="8" t="s">
        <v>17</v>
      </c>
      <c r="B28" s="3">
        <f>COUNTIFS(E7:E24,TRUE,F7:F24,FALSE)</f>
        <v>18</v>
      </c>
      <c r="C28" s="1" t="s">
        <v>13</v>
      </c>
      <c r="D28" s="31">
        <f>COUNTIFS(E7:E24,FALSE,F7:F24,FALSE)</f>
        <v>0</v>
      </c>
      <c r="E28" s="11" t="s">
        <v>14</v>
      </c>
      <c r="F28" s="6">
        <f>COUNTIF(F7:F24,TRUE)</f>
        <v>0</v>
      </c>
    </row>
  </sheetData>
  <mergeCells count="9">
    <mergeCell ref="A6:G6"/>
    <mergeCell ref="A25:D25"/>
    <mergeCell ref="F25:G25"/>
    <mergeCell ref="A1:G1"/>
    <mergeCell ref="A2:G2"/>
    <mergeCell ref="B3:C3"/>
    <mergeCell ref="E3:G3"/>
    <mergeCell ref="B4:C4"/>
    <mergeCell ref="E4:G4"/>
  </mergeCells>
  <conditionalFormatting sqref="A7:G24">
    <cfRule type="expression" dxfId="3" priority="5">
      <formula>$F7=TRUE</formula>
    </cfRule>
    <cfRule type="expression" dxfId="2" priority="6">
      <formula>AND($E7=FALSE,$F7=FALSE)</formula>
    </cfRule>
    <cfRule type="expression" dxfId="1" priority="7">
      <formula>AND($E7=TRUE,$F7=FALSE)</formula>
    </cfRule>
    <cfRule type="expression" dxfId="0" priority="8">
      <formula>AND($E7=TRUE,$F7=TRUE)</formula>
    </cfRule>
  </conditionalFormatting>
  <pageMargins left="0.3" right="0.3" top="0.5" bottom="0.5" header="0.3" footer="0.3"/>
  <pageSetup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Seguimiento mensual - checklist de cumplimiento</dc:title>
  <dc:subject>Control mensual de responsabilidades</dc:subject>
  <dc:creator>OpenAI</dc:creator>
  <dc:description>Checklist interactivo con casillas y barra de cumplimiento.</dc:description>
  <cp:lastModifiedBy>Alex Varela Quiros</cp:lastModifiedBy>
  <dcterms:created xsi:type="dcterms:W3CDTF">2026-09-20T21:14:26Z</dcterms:created>
  <dcterms:modified xsi:type="dcterms:W3CDTF">2026-10-21T19:01:19Z</dcterms:modified>
</cp:coreProperties>
</file>