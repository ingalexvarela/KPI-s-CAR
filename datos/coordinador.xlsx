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 Varela\Pictures\JULIO\AGOSTO\Página KPIS\KPI-s-CAR\datos\"/>
    </mc:Choice>
  </mc:AlternateContent>
  <xr:revisionPtr revIDLastSave="0" documentId="13_ncr:1_{7E98C9E5-3FD9-434D-9146-1A5F89E8AA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guimiento" sheetId="3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/>
  <c r="D28" i="3"/>
  <c r="B28" i="3"/>
  <c r="E25" i="3"/>
  <c r="B27" i="3" s="1"/>
</calcChain>
</file>

<file path=xl/sharedStrings.xml><?xml version="1.0" encoding="utf-8"?>
<sst xmlns="http://schemas.openxmlformats.org/spreadsheetml/2006/main" count="89" uniqueCount="74">
  <si>
    <t>SEGUIMIENTO MENSUAL – CHECKLIST DE CUMPLIMIENTO</t>
  </si>
  <si>
    <t>Marque la casilla Cumplido cuando el control del mes esté completo. Use N/A únicamente cuando el indicador no corresponda al periodo.</t>
  </si>
  <si>
    <t>Mes:</t>
  </si>
  <si>
    <t>Responsable:</t>
  </si>
  <si>
    <t>Jefatura:</t>
  </si>
  <si>
    <t>N.°</t>
  </si>
  <si>
    <t>Aspecto de seguimiento</t>
  </si>
  <si>
    <t>Indicador / criterio mensual</t>
  </si>
  <si>
    <t>Meta</t>
  </si>
  <si>
    <t>Cumplido</t>
  </si>
  <si>
    <t>N/A</t>
  </si>
  <si>
    <t>Observaciones / pendientes</t>
  </si>
  <si>
    <t>CUMPLIMIENTO GENERAL MENSUAL</t>
  </si>
  <si>
    <t>Pendientes</t>
  </si>
  <si>
    <t>No aplica</t>
  </si>
  <si>
    <t>Ingeniería Eléctrica</t>
  </si>
  <si>
    <t>Fecha</t>
  </si>
  <si>
    <t>Total</t>
  </si>
  <si>
    <t>COORDINACIÓN DE CUADRILLAS ELÉCTRICAS</t>
  </si>
  <si>
    <t>100% actualizado</t>
  </si>
  <si>
    <t/>
  </si>
  <si>
    <t>100% de movimientos registrados</t>
  </si>
  <si>
    <t>Atención de averías, emergencias, mantenimientos y trabajos programados</t>
  </si>
  <si>
    <t>100% de eventos atendidos y registrados</t>
  </si>
  <si>
    <t>100% de trabajos programados con responsable, fecha y recursos definidos</t>
  </si>
  <si>
    <t>Registro y coordinación de maniobras, desconexiones y restablecimientos conforme a procedimiento</t>
  </si>
  <si>
    <t>100% de maniobras ejecutadas bajo procedimiento</t>
  </si>
  <si>
    <t>100% de paros requeridos gestionados y comunicados</t>
  </si>
  <si>
    <t>Verificar que los trabajos se ejecuten con procedimientos de seguridad</t>
  </si>
  <si>
    <t>100% de trabajos verificados conforme al procedimiento de seguridad</t>
  </si>
  <si>
    <t>Dar seguimiento al avance de trabajo y verificar la calidad del trabajo realizado</t>
  </si>
  <si>
    <t>100% de trabajos con seguimiento y calidad verificada</t>
  </si>
  <si>
    <t>Control de combustible</t>
  </si>
  <si>
    <t>PCB’s</t>
  </si>
  <si>
    <t>100% de casos identificados con seguimiento</t>
  </si>
  <si>
    <t>Fauna</t>
  </si>
  <si>
    <t>100% de eventos registrados y atendidos</t>
  </si>
  <si>
    <t>100% de casos registrados y gestionados</t>
  </si>
  <si>
    <t>Identificación y reporte de faltantes o desviaciones de materiales requeridos</t>
  </si>
  <si>
    <t>100% de desviaciones identificadas y reportadas</t>
  </si>
  <si>
    <t>Leonardo Arrieta Carranza</t>
  </si>
  <si>
    <t>100% de consumos registrados; desviaciones identificadas y justificadas.</t>
  </si>
  <si>
    <t>Registro actualizado de cambios físicos y activos incorporados o modificados en la red y proyectos</t>
  </si>
  <si>
    <t>Control del mantenimiento de móviles</t>
  </si>
  <si>
    <t>Coordinación de la unidad de derrama</t>
  </si>
  <si>
    <t>Control de permisos y vacaciones (Linieros y unidad de derrama)</t>
  </si>
  <si>
    <t>Registro mensual de permisos, vacaciones y ausencias del personal con forme disponibilidad y programación</t>
  </si>
  <si>
    <t>Control de materiales retirados, utilizados y devueltos por cada cuadrilla, sin perdida de activos.</t>
  </si>
  <si>
    <t>Programación Semanal de los trabajos de cuadrilla para el cumplimiento de objetivos</t>
  </si>
  <si>
    <t>Presentar la programación mensual de trabajos, responsables, recursos y prioridades por cuadrilla</t>
  </si>
  <si>
    <t xml:space="preserve">Gestionar maniobras, desconexiones y restablecimiento de servicios con los procedimientos establecidos </t>
  </si>
  <si>
    <t>Control de proyectos: ejecución</t>
  </si>
  <si>
    <t>% de consumo de combustible mensual registrado por movil</t>
  </si>
  <si>
    <t xml:space="preserve">Control de desviaciones en disponibilidad de materiales (Stock mínimo) </t>
  </si>
  <si>
    <t>Control y registro de equipos o materiales asociados a PCB y cierre con éxito de la campaña</t>
  </si>
  <si>
    <t>Registro y seguimiento de eventos o acciones relacionadas con fauna y cierre con éxito de la campaña</t>
  </si>
  <si>
    <t>Registro y seguimiento de los trabajos de la unidad de derrama</t>
  </si>
  <si>
    <t>100% actualizado y sin desviaciones</t>
  </si>
  <si>
    <t xml:space="preserve">Verificación del estado, Deckra, Mantenimiento y Reportes a la jefatura para la ejecución de mantenimientos </t>
  </si>
  <si>
    <t>≥ 85% atendidas y 100% registradas</t>
  </si>
  <si>
    <t>Registro y coordinación oportuna de averías, emergencias, mantenimientos y trabajos programados en Ordenes de trabajo</t>
  </si>
  <si>
    <t>Planificación, autorización y comunicación de paros programados, y ejecución sin desviaciones según minuta</t>
  </si>
  <si>
    <t>Verificación en campo del cumplimiento de procedimientos y medidas de seguridad, reportar anomalias o incumplimientos</t>
  </si>
  <si>
    <t>Seguimiento de avance, cierre y control de calidad de los trabajos ejecutados y reporte de anomalias o incumplimientos</t>
  </si>
  <si>
    <t>Seguimiento de la ejecución de proyectos, hacer cierre y control de los mismos.</t>
  </si>
  <si>
    <t>100% de los proyectos cerrados registrados</t>
  </si>
  <si>
    <t>Reportar los cambios en la red e inversión al encargado del GIS</t>
  </si>
  <si>
    <t>100% de cambios de red e inversión registrados en GIS</t>
  </si>
  <si>
    <t>Control mensual de inventario de herramienta personal - herramienta de móvil</t>
  </si>
  <si>
    <t>Seguimiento de órdenes de trabajo del departamento eléctrico en CRM</t>
  </si>
  <si>
    <t>Seguimiento del estado, avance y cierre de las órdenes de trabajo asignadas en CRM conforme proceso.</t>
  </si>
  <si>
    <t>Verificación del estado, mantenimiento de la herramientas, reposiciones y reportes de perdidas</t>
  </si>
  <si>
    <t>Coordinación de materiales para cuadrillas (retiro de bodega, devolución a bodega y control de utilización de materiales)</t>
  </si>
  <si>
    <t xml:space="preserve">Gestionar los paros programados y comunicar los requeridos por trabajos cotidianos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</si>
</sst>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rgb="FF666666"/>
      <name val="Calibri"/>
      <family val="2"/>
      <scheme val="minor"/>
    </font>
    <font>
      <b/>
      <sz val="11"/>
      <color rgb="FF17365D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7365D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E2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0" xfId="0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9" fontId="6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top" wrapText="1"/>
    </xf>
    <xf numFmtId="0" fontId="0" fillId="0" borderId="2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0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7" fontId="11" fillId="4" borderId="1" xfId="0" applyNumberFormat="1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/>
    <xf numFmtId="15" fontId="11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4">
    <dxf>
      <font>
        <color rgb="FFC00000"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color rgb="FF999999"/>
      </font>
      <fill>
        <patternFill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C944-DFC4-43B8-856E-B7EEB5BE22D7}">
  <sheetPr>
    <pageSetUpPr fitToPage="1"/>
  </sheetPr>
  <dimension ref="A1:G28"/>
  <sheetViews>
    <sheetView showGridLines="0" tabSelected="1" zoomScaleNormal="100" workbookViewId="0">
      <pane ySplit="5" topLeftCell="A8" activePane="bottomLeft" state="frozen"/>
      <selection pane="bottomLeft" activeCell="B10" sqref="B10"/>
    </sheetView>
  </sheetViews>
  <sheetFormatPr baseColWidth="10" defaultColWidth="8.88671875" defaultRowHeight="14.4" x14ac:dyDescent="0.3"/>
  <cols>
    <col min="1" max="1" width="5.5546875" style="9" customWidth="1"/>
    <col min="2" max="2" width="72.109375" customWidth="1"/>
    <col min="3" max="3" width="104.6640625" customWidth="1"/>
    <col min="4" max="4" width="48.109375" customWidth="1"/>
    <col min="5" max="5" width="10.6640625" style="7" customWidth="1"/>
    <col min="6" max="6" width="9.77734375" style="7" customWidth="1"/>
    <col min="7" max="7" width="34.44140625" customWidth="1"/>
  </cols>
  <sheetData>
    <row r="1" spans="1:7" ht="21" x14ac:dyDescent="0.3">
      <c r="A1" s="24" t="s">
        <v>0</v>
      </c>
      <c r="B1" s="24"/>
      <c r="C1" s="24"/>
      <c r="D1" s="24"/>
      <c r="E1" s="24"/>
      <c r="F1" s="24"/>
      <c r="G1" s="24"/>
    </row>
    <row r="2" spans="1:7" x14ac:dyDescent="0.3">
      <c r="A2" s="25" t="s">
        <v>1</v>
      </c>
      <c r="B2" s="25"/>
      <c r="C2" s="25"/>
      <c r="D2" s="25"/>
      <c r="E2" s="25"/>
      <c r="F2" s="25"/>
      <c r="G2" s="25"/>
    </row>
    <row r="3" spans="1:7" ht="15.6" x14ac:dyDescent="0.3">
      <c r="A3" s="8" t="s">
        <v>2</v>
      </c>
      <c r="B3" s="26">
        <v>46316</v>
      </c>
      <c r="C3" s="27"/>
      <c r="D3" s="5" t="s">
        <v>3</v>
      </c>
      <c r="E3" s="28" t="s">
        <v>40</v>
      </c>
      <c r="F3" s="28"/>
      <c r="G3" s="28"/>
    </row>
    <row r="4" spans="1:7" ht="15.6" x14ac:dyDescent="0.3">
      <c r="A4" s="8" t="s">
        <v>16</v>
      </c>
      <c r="B4" s="29">
        <v>46325</v>
      </c>
      <c r="C4" s="27"/>
      <c r="D4" s="5" t="s">
        <v>4</v>
      </c>
      <c r="E4" s="28" t="s">
        <v>15</v>
      </c>
      <c r="F4" s="28"/>
      <c r="G4" s="28"/>
    </row>
    <row r="5" spans="1:7" ht="34.950000000000003" customHeight="1" x14ac:dyDescent="0.3">
      <c r="A5" s="2" t="s">
        <v>5</v>
      </c>
      <c r="B5" s="2" t="s">
        <v>6</v>
      </c>
      <c r="C5" s="2" t="s">
        <v>7</v>
      </c>
      <c r="D5" s="2" t="s">
        <v>8</v>
      </c>
      <c r="E5" s="10" t="s">
        <v>9</v>
      </c>
      <c r="F5" s="10" t="s">
        <v>10</v>
      </c>
      <c r="G5" s="2" t="s">
        <v>11</v>
      </c>
    </row>
    <row r="6" spans="1:7" ht="13.8" customHeight="1" x14ac:dyDescent="0.3">
      <c r="A6" s="21" t="s">
        <v>18</v>
      </c>
      <c r="B6" s="21"/>
      <c r="C6" s="21"/>
      <c r="D6" s="21"/>
      <c r="E6" s="21"/>
      <c r="F6" s="21"/>
      <c r="G6" s="21"/>
    </row>
    <row r="7" spans="1:7" ht="16.8" customHeight="1" x14ac:dyDescent="0.3">
      <c r="A7" s="13">
        <v>1</v>
      </c>
      <c r="B7" s="14" t="s">
        <v>45</v>
      </c>
      <c r="C7" s="15" t="s">
        <v>46</v>
      </c>
      <c r="D7" s="16" t="s">
        <v>57</v>
      </c>
      <c r="E7" s="17" t="b">
        <v>1</v>
      </c>
      <c r="F7" s="17" t="b">
        <v>0</v>
      </c>
      <c r="G7" s="18" t="s">
        <v>20</v>
      </c>
    </row>
    <row r="8" spans="1:7" ht="18" customHeight="1" x14ac:dyDescent="0.3">
      <c r="A8" s="13">
        <v>2</v>
      </c>
      <c r="B8" s="14" t="s">
        <v>43</v>
      </c>
      <c r="C8" s="15" t="s">
        <v>58</v>
      </c>
      <c r="D8" s="16" t="s">
        <v>57</v>
      </c>
      <c r="E8" s="17" t="b">
        <v>1</v>
      </c>
      <c r="F8" s="17" t="b">
        <v>0</v>
      </c>
      <c r="G8" s="18" t="s">
        <v>20</v>
      </c>
    </row>
    <row r="9" spans="1:7" ht="15" customHeight="1" x14ac:dyDescent="0.3">
      <c r="A9" s="13">
        <v>3</v>
      </c>
      <c r="B9" s="14" t="s">
        <v>68</v>
      </c>
      <c r="C9" s="15" t="s">
        <v>71</v>
      </c>
      <c r="D9" s="16" t="s">
        <v>19</v>
      </c>
      <c r="E9" s="17" t="b">
        <v>1</v>
      </c>
      <c r="F9" s="17" t="b">
        <v>0</v>
      </c>
      <c r="G9" s="18" t="s">
        <v>20</v>
      </c>
    </row>
    <row r="10" spans="1:7" ht="34.799999999999997" customHeight="1" x14ac:dyDescent="0.3">
      <c r="A10" s="13">
        <v>4</v>
      </c>
      <c r="B10" s="14" t="s">
        <v>72</v>
      </c>
      <c r="C10" s="15" t="s">
        <v>47</v>
      </c>
      <c r="D10" s="16" t="s">
        <v>21</v>
      </c>
      <c r="E10" s="17" t="b">
        <v>1</v>
      </c>
      <c r="F10" s="17" t="b">
        <v>0</v>
      </c>
      <c r="G10" s="18" t="s">
        <v>20</v>
      </c>
    </row>
    <row r="11" spans="1:7" ht="18" customHeight="1" x14ac:dyDescent="0.3">
      <c r="A11" s="13">
        <v>5</v>
      </c>
      <c r="B11" s="14" t="s">
        <v>69</v>
      </c>
      <c r="C11" s="15" t="s">
        <v>70</v>
      </c>
      <c r="D11" s="16" t="s">
        <v>59</v>
      </c>
      <c r="E11" s="17" t="b">
        <v>1</v>
      </c>
      <c r="F11" s="17" t="b">
        <v>0</v>
      </c>
      <c r="G11" s="18" t="s">
        <v>20</v>
      </c>
    </row>
    <row r="12" spans="1:7" ht="19.8" customHeight="1" x14ac:dyDescent="0.3">
      <c r="A12" s="13">
        <v>6</v>
      </c>
      <c r="B12" s="14" t="s">
        <v>22</v>
      </c>
      <c r="C12" s="15" t="s">
        <v>60</v>
      </c>
      <c r="D12" s="16" t="s">
        <v>23</v>
      </c>
      <c r="E12" s="17" t="b">
        <v>1</v>
      </c>
      <c r="F12" s="17" t="b">
        <v>0</v>
      </c>
      <c r="G12" s="18" t="s">
        <v>20</v>
      </c>
    </row>
    <row r="13" spans="1:7" ht="16.2" customHeight="1" x14ac:dyDescent="0.3">
      <c r="A13" s="13">
        <v>8</v>
      </c>
      <c r="B13" s="14" t="s">
        <v>48</v>
      </c>
      <c r="C13" s="15" t="s">
        <v>49</v>
      </c>
      <c r="D13" s="16" t="s">
        <v>24</v>
      </c>
      <c r="E13" s="17" t="b">
        <v>1</v>
      </c>
      <c r="F13" s="17" t="b">
        <v>0</v>
      </c>
      <c r="G13" s="18" t="s">
        <v>20</v>
      </c>
    </row>
    <row r="14" spans="1:7" ht="31.8" customHeight="1" x14ac:dyDescent="0.3">
      <c r="A14" s="13">
        <v>9</v>
      </c>
      <c r="B14" s="14" t="s">
        <v>50</v>
      </c>
      <c r="C14" s="15" t="s">
        <v>25</v>
      </c>
      <c r="D14" s="16" t="s">
        <v>26</v>
      </c>
      <c r="E14" s="17" t="b">
        <v>1</v>
      </c>
      <c r="F14" s="17" t="b">
        <v>0</v>
      </c>
      <c r="G14" s="18" t="s">
        <v>20</v>
      </c>
    </row>
    <row r="15" spans="1:7" ht="20.399999999999999" customHeight="1" x14ac:dyDescent="0.3">
      <c r="A15" s="13">
        <v>10</v>
      </c>
      <c r="B15" s="14" t="s">
        <v>73</v>
      </c>
      <c r="C15" s="15" t="s">
        <v>61</v>
      </c>
      <c r="D15" s="16" t="s">
        <v>27</v>
      </c>
      <c r="E15" s="17" t="b">
        <v>1</v>
      </c>
      <c r="F15" s="17" t="b">
        <v>0</v>
      </c>
      <c r="G15" s="18" t="s">
        <v>20</v>
      </c>
    </row>
    <row r="16" spans="1:7" ht="31.2" customHeight="1" x14ac:dyDescent="0.3">
      <c r="A16" s="13">
        <v>11</v>
      </c>
      <c r="B16" s="14" t="s">
        <v>28</v>
      </c>
      <c r="C16" s="15" t="s">
        <v>62</v>
      </c>
      <c r="D16" s="16" t="s">
        <v>29</v>
      </c>
      <c r="E16" s="17" t="b">
        <v>1</v>
      </c>
      <c r="F16" s="17" t="b">
        <v>0</v>
      </c>
      <c r="G16" s="18" t="s">
        <v>20</v>
      </c>
    </row>
    <row r="17" spans="1:7" ht="33" customHeight="1" x14ac:dyDescent="0.3">
      <c r="A17" s="13">
        <v>12</v>
      </c>
      <c r="B17" s="14" t="s">
        <v>30</v>
      </c>
      <c r="C17" s="15" t="s">
        <v>63</v>
      </c>
      <c r="D17" s="16" t="s">
        <v>31</v>
      </c>
      <c r="E17" s="17" t="b">
        <v>1</v>
      </c>
      <c r="F17" s="17" t="b">
        <v>0</v>
      </c>
      <c r="G17" s="18" t="s">
        <v>20</v>
      </c>
    </row>
    <row r="18" spans="1:7" ht="21" customHeight="1" x14ac:dyDescent="0.3">
      <c r="A18" s="13">
        <v>13</v>
      </c>
      <c r="B18" s="14" t="s">
        <v>51</v>
      </c>
      <c r="C18" s="15" t="s">
        <v>64</v>
      </c>
      <c r="D18" s="16" t="s">
        <v>65</v>
      </c>
      <c r="E18" s="17" t="b">
        <v>1</v>
      </c>
      <c r="F18" s="17" t="b">
        <v>0</v>
      </c>
      <c r="G18" s="18"/>
    </row>
    <row r="19" spans="1:7" ht="18" customHeight="1" x14ac:dyDescent="0.3">
      <c r="A19" s="13">
        <v>14</v>
      </c>
      <c r="B19" s="14" t="s">
        <v>66</v>
      </c>
      <c r="C19" s="15" t="s">
        <v>42</v>
      </c>
      <c r="D19" s="16" t="s">
        <v>67</v>
      </c>
      <c r="E19" s="17" t="b">
        <v>1</v>
      </c>
      <c r="F19" s="17" t="b">
        <v>0</v>
      </c>
      <c r="G19" s="18" t="s">
        <v>20</v>
      </c>
    </row>
    <row r="20" spans="1:7" ht="28.8" customHeight="1" x14ac:dyDescent="0.3">
      <c r="A20" s="13">
        <v>15</v>
      </c>
      <c r="B20" s="14" t="s">
        <v>32</v>
      </c>
      <c r="C20" s="15" t="s">
        <v>52</v>
      </c>
      <c r="D20" s="16" t="s">
        <v>41</v>
      </c>
      <c r="E20" s="17" t="b">
        <v>1</v>
      </c>
      <c r="F20" s="17" t="b">
        <v>0</v>
      </c>
      <c r="G20" s="18"/>
    </row>
    <row r="21" spans="1:7" ht="33" customHeight="1" x14ac:dyDescent="0.3">
      <c r="A21" s="13">
        <v>16</v>
      </c>
      <c r="B21" s="14" t="s">
        <v>53</v>
      </c>
      <c r="C21" s="15" t="s">
        <v>38</v>
      </c>
      <c r="D21" s="16" t="s">
        <v>39</v>
      </c>
      <c r="E21" s="17" t="b">
        <v>1</v>
      </c>
      <c r="F21" s="17" t="b">
        <v>0</v>
      </c>
      <c r="G21" s="18"/>
    </row>
    <row r="22" spans="1:7" s="6" customFormat="1" ht="19.2" customHeight="1" x14ac:dyDescent="0.3">
      <c r="A22" s="13">
        <v>17</v>
      </c>
      <c r="B22" s="14" t="s">
        <v>33</v>
      </c>
      <c r="C22" s="15" t="s">
        <v>54</v>
      </c>
      <c r="D22" s="19" t="s">
        <v>34</v>
      </c>
      <c r="E22" s="17" t="b">
        <v>1</v>
      </c>
      <c r="F22" s="17" t="b">
        <v>0</v>
      </c>
      <c r="G22" s="20" t="s">
        <v>20</v>
      </c>
    </row>
    <row r="23" spans="1:7" s="6" customFormat="1" ht="22.2" customHeight="1" x14ac:dyDescent="0.3">
      <c r="A23" s="13">
        <v>18</v>
      </c>
      <c r="B23" s="14" t="s">
        <v>35</v>
      </c>
      <c r="C23" s="15" t="s">
        <v>55</v>
      </c>
      <c r="D23" s="19" t="s">
        <v>36</v>
      </c>
      <c r="E23" s="17" t="b">
        <v>1</v>
      </c>
      <c r="F23" s="17" t="b">
        <v>0</v>
      </c>
      <c r="G23" s="20" t="s">
        <v>20</v>
      </c>
    </row>
    <row r="24" spans="1:7" s="6" customFormat="1" ht="20.399999999999999" customHeight="1" x14ac:dyDescent="0.3">
      <c r="A24" s="13">
        <v>19</v>
      </c>
      <c r="B24" s="14" t="s">
        <v>44</v>
      </c>
      <c r="C24" s="15" t="s">
        <v>56</v>
      </c>
      <c r="D24" s="19" t="s">
        <v>37</v>
      </c>
      <c r="E24" s="17" t="b">
        <v>1</v>
      </c>
      <c r="F24" s="17" t="b">
        <v>0</v>
      </c>
      <c r="G24" s="20" t="s">
        <v>20</v>
      </c>
    </row>
    <row r="25" spans="1:7" ht="17.399999999999999" customHeight="1" x14ac:dyDescent="0.3">
      <c r="A25" s="22" t="s">
        <v>12</v>
      </c>
      <c r="B25" s="23"/>
      <c r="C25" s="23"/>
      <c r="D25" s="23"/>
      <c r="E25" s="11">
        <f>IFERROR(COUNTIFS(E7:E24,TRUE,F7:F24,FALSE)/COUNTIF(F7:F24,FALSE),0)</f>
        <v>1</v>
      </c>
      <c r="F25" s="23"/>
      <c r="G25" s="23"/>
    </row>
    <row r="27" spans="1:7" ht="37.799999999999997" customHeight="1" x14ac:dyDescent="0.3">
      <c r="B27" s="4">
        <f>E25</f>
        <v>1</v>
      </c>
    </row>
    <row r="28" spans="1:7" ht="19.95" customHeight="1" x14ac:dyDescent="0.3">
      <c r="A28" s="9" t="s">
        <v>17</v>
      </c>
      <c r="B28" s="3">
        <f>COUNTIFS(E7:E24,TRUE,F7:F24,FALSE)</f>
        <v>18</v>
      </c>
      <c r="C28" s="1" t="s">
        <v>13</v>
      </c>
      <c r="D28" s="3">
        <f>COUNTIFS(E7:E24,FALSE,F7:F24,FALSE)</f>
        <v>0</v>
      </c>
      <c r="E28" s="12" t="s">
        <v>14</v>
      </c>
      <c r="F28" s="7">
        <f>COUNTIF(F7:F24,TRUE)</f>
        <v>0</v>
      </c>
    </row>
  </sheetData>
  <mergeCells count="9">
    <mergeCell ref="A6:G6"/>
    <mergeCell ref="A25:D25"/>
    <mergeCell ref="F25:G25"/>
    <mergeCell ref="A1:G1"/>
    <mergeCell ref="A2:G2"/>
    <mergeCell ref="B3:C3"/>
    <mergeCell ref="E3:G3"/>
    <mergeCell ref="B4:C4"/>
    <mergeCell ref="E4:G4"/>
  </mergeCells>
  <conditionalFormatting sqref="A7:G24">
    <cfRule type="expression" dxfId="3" priority="5">
      <formula>$F7=TRUE</formula>
    </cfRule>
    <cfRule type="expression" dxfId="2" priority="6">
      <formula>AND($E7=FALSE,$F7=FALSE)</formula>
    </cfRule>
    <cfRule type="expression" dxfId="1" priority="7">
      <formula>AND($E7=TRUE,$F7=FALSE)</formula>
    </cfRule>
    <cfRule type="expression" dxfId="0" priority="8">
      <formula>AND($E7=TRUE,$F7=TRUE)</formula>
    </cfRule>
  </conditionalFormatting>
  <pageMargins left="0.3" right="0.3" top="0.5" bottom="0.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Seguimiento mensual - checklist de cumplimiento</dc:title>
  <dc:subject>Control mensual de responsabilidades</dc:subject>
  <dc:creator>OpenAI</dc:creator>
  <dc:description>Checklist interactivo con casillas y barra de cumplimiento.</dc:description>
  <cp:lastModifiedBy>Alex Varela Quiros</cp:lastModifiedBy>
  <dcterms:created xsi:type="dcterms:W3CDTF">2026-09-20T21:14:26Z</dcterms:created>
  <dcterms:modified xsi:type="dcterms:W3CDTF">2026-10-21T17:23:07Z</dcterms:modified>
</cp:coreProperties>
</file>