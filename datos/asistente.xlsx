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 Varela\Pictures\KPI's\"/>
    </mc:Choice>
  </mc:AlternateContent>
  <xr:revisionPtr revIDLastSave="0" documentId="8_{9C4E60A1-1D96-4877-B73D-09CC3D982BB0}" xr6:coauthVersionLast="47" xr6:coauthVersionMax="47" xr10:uidLastSave="{00000000-0000-0000-0000-000000000000}"/>
  <bookViews>
    <workbookView xWindow="-108" yWindow="-108" windowWidth="23256" windowHeight="13896" firstSheet="2" activeTab="18" xr2:uid="{00000000-000D-0000-FFFF-FFFF00000000}"/>
  </bookViews>
  <sheets>
    <sheet name="Seguimiento" sheetId="1" r:id="rId1"/>
    <sheet name="Dashboard" sheetId="2" r:id="rId2"/>
    <sheet name="01 Supervisión personal" sheetId="3" r:id="rId3"/>
    <sheet name="02 Horas extra" sheetId="4" r:id="rId4"/>
    <sheet name="03 Tardías" sheetId="5" r:id="rId5"/>
    <sheet name="04 Herramientas móviles" sheetId="6" r:id="rId6"/>
    <sheet name="05 Herramienta personal" sheetId="7" r:id="rId7"/>
    <sheet name="06 Equipo Ingeniería" sheetId="8" r:id="rId8"/>
    <sheet name="07 Solicitud abonados" sheetId="9" r:id="rId9"/>
    <sheet name="08 Solicitud colaboradores" sheetId="10" r:id="rId10"/>
    <sheet name="09 Planes y acuerdos" sheetId="11" r:id="rId11"/>
    <sheet name="10 Quejas" sheetId="12" r:id="rId12"/>
    <sheet name="11 Ilícitos" sheetId="13" r:id="rId13"/>
    <sheet name="12 Registro proyectos" sheetId="14" r:id="rId14"/>
    <sheet name="13 Stock mín-máx" sheetId="15" r:id="rId15"/>
    <sheet name="14 Procesos y normativa" sheetId="16" r:id="rId16"/>
    <sheet name="15 Compras y materiales" sheetId="17" r:id="rId17"/>
    <sheet name="16 Presupuestos eléctricos" sheetId="18" r:id="rId18"/>
    <sheet name="17 Diseño redes eléctricas" sheetId="19" r:id="rId19"/>
    <sheet name="Chart Data" sheetId="20" state="hidden" r:id="rId20"/>
  </sheets>
  <definedNames>
    <definedName name="_xlnm._FilterDatabase" localSheetId="0" hidden="1">Seguimiento!$A$5:$G$24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A2" i="2"/>
  <c r="L27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A8" i="2"/>
  <c r="H7" i="20"/>
  <c r="H8" i="20"/>
  <c r="H9" i="20"/>
  <c r="H10" i="20"/>
  <c r="E7" i="20"/>
  <c r="E8" i="20"/>
  <c r="E9" i="20"/>
  <c r="I3" i="20"/>
  <c r="H3" i="20"/>
  <c r="I2" i="20"/>
  <c r="H2" i="20"/>
  <c r="E4" i="20"/>
  <c r="E3" i="20"/>
  <c r="E2" i="20"/>
  <c r="L22" i="2"/>
  <c r="L21" i="2"/>
  <c r="L20" i="2"/>
  <c r="L19" i="2"/>
  <c r="L18" i="2"/>
  <c r="L17" i="2"/>
  <c r="L16" i="2"/>
  <c r="L15" i="2"/>
  <c r="L14" i="2" a="1"/>
  <c r="L14" i="2"/>
  <c r="L13" i="2"/>
  <c r="L12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M5" i="2"/>
  <c r="I5" i="2"/>
  <c r="E5" i="2"/>
  <c r="A5" i="2"/>
  <c r="B7" i="20"/>
  <c r="B6" i="20"/>
  <c r="B5" i="20"/>
  <c r="B4" i="20"/>
  <c r="B3" i="20"/>
  <c r="B2" i="20"/>
  <c r="B10" i="19"/>
  <c r="B9" i="19"/>
  <c r="F8" i="19"/>
  <c r="D8" i="19"/>
  <c r="B8" i="19"/>
  <c r="B7" i="19"/>
  <c r="B6" i="19"/>
  <c r="B5" i="19"/>
  <c r="F4" i="19"/>
  <c r="D4" i="19"/>
  <c r="B4" i="19"/>
  <c r="B10" i="18"/>
  <c r="B9" i="18"/>
  <c r="F8" i="18"/>
  <c r="D8" i="18"/>
  <c r="B8" i="18"/>
  <c r="B7" i="18"/>
  <c r="B6" i="18"/>
  <c r="B5" i="18"/>
  <c r="F4" i="18"/>
  <c r="D4" i="18"/>
  <c r="B4" i="18"/>
  <c r="B10" i="17"/>
  <c r="B9" i="17"/>
  <c r="F8" i="17"/>
  <c r="D8" i="17"/>
  <c r="B8" i="17"/>
  <c r="B7" i="17"/>
  <c r="B6" i="17"/>
  <c r="B5" i="17"/>
  <c r="F4" i="17"/>
  <c r="D4" i="17"/>
  <c r="B4" i="17"/>
  <c r="B10" i="16"/>
  <c r="B9" i="16"/>
  <c r="F8" i="16"/>
  <c r="D8" i="16"/>
  <c r="B8" i="16"/>
  <c r="B7" i="16"/>
  <c r="B6" i="16"/>
  <c r="B5" i="16"/>
  <c r="F4" i="16"/>
  <c r="D4" i="16"/>
  <c r="B4" i="16"/>
  <c r="B4" i="15"/>
  <c r="D4" i="15"/>
  <c r="F4" i="15"/>
  <c r="B5" i="15"/>
  <c r="B6" i="15"/>
  <c r="B7" i="15"/>
  <c r="B8" i="15"/>
  <c r="D8" i="15"/>
  <c r="F8" i="15"/>
  <c r="B9" i="15"/>
  <c r="B10" i="15"/>
  <c r="B4" i="14"/>
  <c r="D4" i="14"/>
  <c r="F4" i="14"/>
  <c r="B5" i="14"/>
  <c r="B6" i="14"/>
  <c r="B7" i="14"/>
  <c r="B8" i="14"/>
  <c r="D8" i="14"/>
  <c r="F8" i="14"/>
  <c r="B9" i="14"/>
  <c r="B10" i="14"/>
  <c r="B4" i="13"/>
  <c r="D4" i="13"/>
  <c r="F4" i="13"/>
  <c r="B5" i="13"/>
  <c r="B6" i="13"/>
  <c r="B7" i="13"/>
  <c r="B8" i="13"/>
  <c r="D8" i="13"/>
  <c r="F8" i="13"/>
  <c r="B9" i="13"/>
  <c r="B10" i="13"/>
  <c r="B4" i="12"/>
  <c r="D4" i="12"/>
  <c r="F4" i="12"/>
  <c r="B5" i="12"/>
  <c r="B6" i="12"/>
  <c r="B7" i="12"/>
  <c r="B8" i="12"/>
  <c r="D8" i="12"/>
  <c r="F8" i="12"/>
  <c r="B9" i="12"/>
  <c r="B10" i="12"/>
  <c r="B4" i="11"/>
  <c r="D4" i="11"/>
  <c r="F4" i="11"/>
  <c r="B5" i="11"/>
  <c r="B6" i="11"/>
  <c r="B7" i="11"/>
  <c r="B8" i="11"/>
  <c r="D8" i="11"/>
  <c r="F8" i="11"/>
  <c r="B9" i="11"/>
  <c r="B10" i="11"/>
  <c r="B4" i="10"/>
  <c r="D4" i="10"/>
  <c r="B5" i="10"/>
  <c r="B6" i="10"/>
  <c r="B7" i="10"/>
  <c r="B8" i="10"/>
  <c r="D8" i="10"/>
  <c r="B9" i="10"/>
  <c r="B10" i="10"/>
  <c r="B8" i="9"/>
  <c r="B7" i="9"/>
  <c r="B6" i="9"/>
  <c r="B5" i="9"/>
  <c r="F4" i="9"/>
  <c r="D4" i="9"/>
  <c r="B4" i="9"/>
  <c r="B10" i="8"/>
  <c r="B9" i="8"/>
  <c r="F8" i="8"/>
  <c r="D8" i="8"/>
  <c r="B8" i="8"/>
  <c r="B7" i="8"/>
  <c r="B6" i="8"/>
  <c r="B5" i="8"/>
  <c r="F4" i="8"/>
  <c r="D4" i="8"/>
  <c r="B4" i="8"/>
  <c r="B10" i="7"/>
  <c r="B9" i="7"/>
  <c r="F8" i="7"/>
  <c r="D8" i="7"/>
  <c r="B8" i="7"/>
  <c r="B7" i="7"/>
  <c r="B6" i="7"/>
  <c r="B5" i="7"/>
  <c r="F4" i="7"/>
  <c r="B4" i="7"/>
  <c r="D4" i="7"/>
  <c r="B10" i="6"/>
  <c r="B9" i="6"/>
  <c r="F8" i="6"/>
  <c r="D8" i="6"/>
  <c r="B8" i="6"/>
  <c r="B7" i="6"/>
  <c r="B6" i="6"/>
  <c r="B5" i="6"/>
  <c r="F4" i="6"/>
  <c r="B4" i="6"/>
  <c r="D4" i="6"/>
  <c r="B10" i="5"/>
  <c r="B9" i="5"/>
  <c r="D8" i="5"/>
  <c r="B8" i="5"/>
  <c r="B7" i="5"/>
  <c r="B6" i="5"/>
  <c r="B5" i="5"/>
  <c r="F4" i="5"/>
  <c r="B4" i="5"/>
  <c r="D4" i="5"/>
  <c r="B10" i="4"/>
  <c r="B9" i="4"/>
  <c r="D8" i="4"/>
  <c r="B8" i="4"/>
  <c r="B7" i="4"/>
  <c r="B6" i="4"/>
  <c r="B5" i="4"/>
  <c r="D4" i="4"/>
  <c r="B10" i="3"/>
  <c r="B9" i="3"/>
  <c r="F8" i="3"/>
  <c r="D8" i="3"/>
  <c r="B8" i="3"/>
  <c r="B7" i="3"/>
  <c r="B6" i="3"/>
  <c r="B5" i="3"/>
  <c r="F4" i="3"/>
  <c r="B4" i="3"/>
  <c r="D4" i="3"/>
  <c r="F30" i="1"/>
  <c r="D30" i="1"/>
  <c r="B30" i="1"/>
  <c r="E27" i="1"/>
  <c r="B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<sst xmlns="http://schemas.openxmlformats.org/spreadsheetml/2006/main" count="869" uniqueCount="398">
  <si>
    <t>SEGUIMIENTO MENSUAL – CHECKLIST DE CUMPLIMIENTO</t>
  </si>
  <si>
    <t>Marque la casilla Cumplido cuando el control del mes esté completo. Use N/A únicamente cuando el indicador no corresponda al periodo.</t>
  </si>
  <si>
    <t>Mes:</t>
  </si>
  <si>
    <t>Responsable:</t>
  </si>
  <si>
    <t>Emerson Garita López</t>
  </si>
  <si>
    <t>Fecha</t>
  </si>
  <si>
    <t>Jefatura:</t>
  </si>
  <si>
    <t>Ingeniería Eléctrica</t>
  </si>
  <si>
    <t>N.°</t>
  </si>
  <si>
    <t>Aspecto de seguimiento</t>
  </si>
  <si>
    <t>Indicador / criterio mensual</t>
  </si>
  <si>
    <t>Meta</t>
  </si>
  <si>
    <t>Cumplido</t>
  </si>
  <si>
    <t>N/A</t>
  </si>
  <si>
    <t>Observaciones / pendientes</t>
  </si>
  <si>
    <t xml:space="preserve">ASISTENTE DE INGENIERÍA </t>
  </si>
  <si>
    <t>Supervisión de personal</t>
  </si>
  <si>
    <t>Seguimiento de seguridad, personal y labores diarias</t>
  </si>
  <si>
    <t>100% de situaciones relevantes atendidas</t>
  </si>
  <si>
    <t>Horas extra (al día)</t>
  </si>
  <si>
    <t>Registro completo y actualizado de horas extra</t>
  </si>
  <si>
    <t>Sin pérdida de registros</t>
  </si>
  <si>
    <t>Tardias</t>
  </si>
  <si>
    <t>Registro completo y actualizado de Tardias</t>
  </si>
  <si>
    <t>Herramientas móviles</t>
  </si>
  <si>
    <t>Registro y control de herramientas asignadas a móviles</t>
  </si>
  <si>
    <t>Herramienta personal</t>
  </si>
  <si>
    <t>Registro y control de herramienta asignada al personal</t>
  </si>
  <si>
    <t>Equipo Ingeniería</t>
  </si>
  <si>
    <t>Registro y control de equipos del departamento</t>
  </si>
  <si>
    <t>Solicitud de Abonados</t>
  </si>
  <si>
    <t>Solicitudes y coordinaciones atendidas</t>
  </si>
  <si>
    <t>≥ 90% atendidas y 100% registrados</t>
  </si>
  <si>
    <t>Solicitud de colaboradores</t>
  </si>
  <si>
    <t>Solicitudes recibidas y gestionadas debidamente registradas</t>
  </si>
  <si>
    <t>Planes y acuerdos de ingeniería</t>
  </si>
  <si>
    <t>Seguimiento de actividades y acuerdos asignados</t>
  </si>
  <si>
    <t>≥ 90% en cumplimiento y 100% registrados</t>
  </si>
  <si>
    <t>Quejas – registro</t>
  </si>
  <si>
    <t>Quejas recibidas, estado y atención documentados</t>
  </si>
  <si>
    <t>Ilícitos – registro</t>
  </si>
  <si>
    <t>Casos detectados, gestionados y documentados</t>
  </si>
  <si>
    <t>Sin pérdida de registros y 100% tramitados</t>
  </si>
  <si>
    <t>Registro de Proyectos</t>
  </si>
  <si>
    <t>Proyectos y movimientos debidamente registrados y su progreso</t>
  </si>
  <si>
    <t>AUXILIAR ADMINISTRATIVO</t>
  </si>
  <si>
    <t>Control de stock mínimo / máximo</t>
  </si>
  <si>
    <t>Verificación de existencias de materiales requeridos para los servicios de Ingeniería Eléctrica</t>
  </si>
  <si>
    <t>100% de los materiales críticos controlados dentro de los mínimos y máximos definidos; faltantes identificados y reportados</t>
  </si>
  <si>
    <t>Procesos (Personal, Inventarios y ARESEP) y normativa</t>
  </si>
  <si>
    <t>Mejorar los procesos actuando sobre los requerimientos actualizados</t>
  </si>
  <si>
    <t>100% de compromisos en plazo</t>
  </si>
  <si>
    <t>Control de compras y materiales</t>
  </si>
  <si>
    <t>Seguimiento de solicitudes de compra, órdenes, recepción y entrega de materiales</t>
  </si>
  <si>
    <t>100% de las solicitudes de compra asignadas con seguimiento hasta su recepción o cierre.</t>
  </si>
  <si>
    <t>Elaboración de presupuestos de proyectos eléctricos</t>
  </si>
  <si>
    <t>Preparación de materiales, cantidades, costos y presupuesto por proyecto</t>
  </si>
  <si>
    <t>100% de los proyectos asignados con presupuesto elaborado.</t>
  </si>
  <si>
    <t>Diseño de redes eléctricas</t>
  </si>
  <si>
    <t>Apoyo en elaboración, revisión y actualización de diseños de MT, BT y servicios</t>
  </si>
  <si>
    <t>100% de los diseños asignados elaborados dentro del plazo establecido</t>
  </si>
  <si>
    <t>CUMPLIMIENTO GENERAL MENSUAL</t>
  </si>
  <si>
    <t>Total</t>
  </si>
  <si>
    <t>Pendientes</t>
  </si>
  <si>
    <t>No aplica</t>
  </si>
  <si>
    <t>DASHBOARD INTEGRAL DE CUMPLIMIENTO MENSUAL</t>
  </si>
  <si>
    <t>CUMPLIMIENTO</t>
  </si>
  <si>
    <t>CUMPLIDOS</t>
  </si>
  <si>
    <t>PENDIENTES</t>
  </si>
  <si>
    <t>NO APLICA</t>
  </si>
  <si>
    <t>LECTURA EJECUTIVA</t>
  </si>
  <si>
    <t>ESTADO DE LOS 17 CONTROLES</t>
  </si>
  <si>
    <t>RESUMEN OPERATIVO</t>
  </si>
  <si>
    <t>Control</t>
  </si>
  <si>
    <t>Área</t>
  </si>
  <si>
    <t>Estado</t>
  </si>
  <si>
    <t>Meta / criterio</t>
  </si>
  <si>
    <t>Observación</t>
  </si>
  <si>
    <t>Indicador</t>
  </si>
  <si>
    <t>Valor</t>
  </si>
  <si>
    <t>Lectura</t>
  </si>
  <si>
    <t>Asistente de Ingeniería</t>
  </si>
  <si>
    <t>Horas extra totales</t>
  </si>
  <si>
    <t>11 colaboradores</t>
  </si>
  <si>
    <t>Mayor carga de horas extra</t>
  </si>
  <si>
    <t>Javier Soto González</t>
  </si>
  <si>
    <t>Minutos de tardía</t>
  </si>
  <si>
    <t>13 registros</t>
  </si>
  <si>
    <t>73 artículos diferentes</t>
  </si>
  <si>
    <t>Unidades de herramienta personal</t>
  </si>
  <si>
    <t>Inventario registrado</t>
  </si>
  <si>
    <t>Cobertura herramientas móviles</t>
  </si>
  <si>
    <t>Móvil 25 es prioridad</t>
  </si>
  <si>
    <t>Registros móviles pendientes</t>
  </si>
  <si>
    <t>41 corresponden a Móvil 25</t>
  </si>
  <si>
    <t>Proyectos totales</t>
  </si>
  <si>
    <t>4 en proceso · 3 pendientes · 1 completado</t>
  </si>
  <si>
    <t>Solicitudes de colaboradores</t>
  </si>
  <si>
    <t>10 registros</t>
  </si>
  <si>
    <t>Quejas registradas</t>
  </si>
  <si>
    <t>1 en proceso</t>
  </si>
  <si>
    <t>Ilícitos registrados</t>
  </si>
  <si>
    <t>1 cumplido</t>
  </si>
  <si>
    <t>Auxiliar Administrativo</t>
  </si>
  <si>
    <t>PRIORIDADES DE SEGUIMIENTO</t>
  </si>
  <si>
    <t>01 · EQUIPO INGENIERÍA</t>
  </si>
  <si>
    <t>Registrar la auditoría coordinada con Contabilidad, responsable y fecha de cierre.</t>
  </si>
  <si>
    <t>02 · SOLICITUDES DE ABONADOS</t>
  </si>
  <si>
    <t>Cargar solicitudes, coordinaciones atendidas y evidencia del periodo.</t>
  </si>
  <si>
    <t>03 · MÓVIL 25</t>
  </si>
  <si>
    <t>04 · PROCESOS ADMINISTRATIVOS</t>
  </si>
  <si>
    <t>Actualizar stock, procesos, compras, presupuestos y diseño de redes.</t>
  </si>
  <si>
    <t>05 · CALIDAD DEL REGISTRO</t>
  </si>
  <si>
    <t>Completar responsable y estado en la gestión del 29 de septiembre.</t>
  </si>
  <si>
    <t>SUPERVISIÓN DE PERSONAL</t>
  </si>
  <si>
    <t>FICHA MENSUAL DE SEGUIMIENTO</t>
  </si>
  <si>
    <t>Mes</t>
  </si>
  <si>
    <t>Responsable</t>
  </si>
  <si>
    <t>Aspecto</t>
  </si>
  <si>
    <t>Indicador / criterio</t>
  </si>
  <si>
    <t>Estado mensual</t>
  </si>
  <si>
    <t>Resumen</t>
  </si>
  <si>
    <t>Observación general</t>
  </si>
  <si>
    <t>REGISTRO DE GESTIÓN DEL MES</t>
  </si>
  <si>
    <t>Actividad / gestión</t>
  </si>
  <si>
    <t>Evidencia / referencia</t>
  </si>
  <si>
    <t>Observaciones</t>
  </si>
  <si>
    <t>Próxima acción</t>
  </si>
  <si>
    <t>Fecha compromiso</t>
  </si>
  <si>
    <t>parado de postes  proyecto anateri,averias,crm y permisos de anclas y postes</t>
  </si>
  <si>
    <t xml:space="preserve">emerson </t>
  </si>
  <si>
    <t>En proceso</t>
  </si>
  <si>
    <t>instalacion de anclas y vestir postes por parte de cuadrila,departamento reunion con ecological</t>
  </si>
  <si>
    <t>instalacion de transformador carnes guadalupe,averias ,CRM</t>
  </si>
  <si>
    <t xml:space="preserve">instalacion de transformador L183,crm,derrama tajo zarcero </t>
  </si>
  <si>
    <t xml:space="preserve">reunion de auditoria katherine ,estudios de ingenieria ,reunion departamento electrico -infocomunicaciones </t>
  </si>
  <si>
    <t xml:space="preserve">capacitacion coopelesca /protecto anateri/averias </t>
  </si>
  <si>
    <t xml:space="preserve">reunion vida silvestre /estudios de ingenieria </t>
  </si>
  <si>
    <t>HORAS EXTRA (AL DÍA)</t>
  </si>
  <si>
    <t>Horas Extra Regular</t>
  </si>
  <si>
    <t>Hora Extra Doble</t>
  </si>
  <si>
    <t>Agosto</t>
  </si>
  <si>
    <t>Duración</t>
  </si>
  <si>
    <t xml:space="preserve">     Araya Pérez Diego Andrés</t>
  </si>
  <si>
    <t xml:space="preserve">     Araya Rodríguez Breiner Anthony</t>
  </si>
  <si>
    <t xml:space="preserve">     Arrieta Carranza Leonardo Antonio</t>
  </si>
  <si>
    <t xml:space="preserve">     Garita Lopez Emerson</t>
  </si>
  <si>
    <t xml:space="preserve">     Orozco Reyes Ariel</t>
  </si>
  <si>
    <t xml:space="preserve">     Porras Duarte Olger Fermin</t>
  </si>
  <si>
    <t xml:space="preserve">     Retana Vargas Gerardo</t>
  </si>
  <si>
    <t xml:space="preserve">     Soto González Javier David</t>
  </si>
  <si>
    <t xml:space="preserve">     Tencio Alvarado José Fabio</t>
  </si>
  <si>
    <t xml:space="preserve">     Villegas Espinoza Frander</t>
  </si>
  <si>
    <t xml:space="preserve">     Villegas Espinoza Kendall</t>
  </si>
  <si>
    <t>TARDIAS</t>
  </si>
  <si>
    <t>si</t>
  </si>
  <si>
    <t>REGISTRO DE TARDÍAS DEL MES</t>
  </si>
  <si>
    <t>Empleado</t>
  </si>
  <si>
    <t>Motivo</t>
  </si>
  <si>
    <t>Justificación</t>
  </si>
  <si>
    <t>06-ago-26</t>
  </si>
  <si>
    <t>ARIEL OROZCO REYES</t>
  </si>
  <si>
    <t>2 min</t>
  </si>
  <si>
    <t>PRESAS CAMINO AL TRABAJO</t>
  </si>
  <si>
    <t xml:space="preserve">FRANDER VILLEGAS </t>
  </si>
  <si>
    <t>04-ago-26</t>
  </si>
  <si>
    <t>LEONARDO ARRIETA CARRANZA</t>
  </si>
  <si>
    <t>1 min</t>
  </si>
  <si>
    <t>14-ago-26</t>
  </si>
  <si>
    <t xml:space="preserve">EMERSON GARITA </t>
  </si>
  <si>
    <t>5 min</t>
  </si>
  <si>
    <t>03-ago-26</t>
  </si>
  <si>
    <t>JAVIER SOTO GONZALES</t>
  </si>
  <si>
    <t>17-ago-26</t>
  </si>
  <si>
    <t>ANTHONY ARAYA RODRIGUEZ</t>
  </si>
  <si>
    <t>3 min</t>
  </si>
  <si>
    <t>25-ago-26</t>
  </si>
  <si>
    <t>18-ago-26</t>
  </si>
  <si>
    <t>14 min</t>
  </si>
  <si>
    <t>SE PONCHO LA MOTO</t>
  </si>
  <si>
    <t>21-ago-26</t>
  </si>
  <si>
    <t>24-ago-26</t>
  </si>
  <si>
    <t>28-ago-26</t>
  </si>
  <si>
    <t>HERRAMIENTAS MÓVILES</t>
  </si>
  <si>
    <t>CONTROL DE HERRAMIENTAS POR MÓVIL</t>
  </si>
  <si>
    <r>
      <t xml:space="preserve">CONTROL MAS ESPECIFICO ESTA DENTRO DE LA HOJA </t>
    </r>
    <r>
      <rPr>
        <b/>
        <sz val="11"/>
        <color rgb="FF52606D"/>
        <rFont val="Aptos"/>
        <family val="2"/>
      </rPr>
      <t>"DETALLE MOVILES</t>
    </r>
    <r>
      <rPr>
        <sz val="11"/>
        <color rgb="FF52606D"/>
        <rFont val="Aptos"/>
        <family val="2"/>
      </rPr>
      <t>"</t>
    </r>
  </si>
  <si>
    <t>Total de herramientas</t>
  </si>
  <si>
    <t>Registro general completo</t>
  </si>
  <si>
    <t>Registros pendientes</t>
  </si>
  <si>
    <t>Prioridad principal</t>
  </si>
  <si>
    <t>Móvil 25 · 41 pendientes</t>
  </si>
  <si>
    <t>ESTADO DE CADA MÓVIL</t>
  </si>
  <si>
    <t>Móvil</t>
  </si>
  <si>
    <t>Registradas (X)</t>
  </si>
  <si>
    <t>Cobertura</t>
  </si>
  <si>
    <t>CÓMO LEER ESTE RESUMEN</t>
  </si>
  <si>
    <t>Móvil 01-27</t>
  </si>
  <si>
    <t>Casi completo</t>
  </si>
  <si>
    <t>Herramienta confirmada</t>
  </si>
  <si>
    <t>Móvil 02-28</t>
  </si>
  <si>
    <t>No se requiere en ese móvil</t>
  </si>
  <si>
    <t>Móvil 25</t>
  </si>
  <si>
    <t>URGENTE</t>
  </si>
  <si>
    <t>Falta revisar o registrar</t>
  </si>
  <si>
    <t>Móvil 03-30</t>
  </si>
  <si>
    <t>Próximo paso</t>
  </si>
  <si>
    <t>Completar 41 registros de Móvil 25.</t>
  </si>
  <si>
    <t>HERRAMIENTA PERSONAL</t>
  </si>
  <si>
    <t>CONTROL GENERAL DE HERRAMIENTAS</t>
  </si>
  <si>
    <t>TOTAL GENERAL</t>
  </si>
  <si>
    <t>ARTÍCULOS DIFERENTES</t>
  </si>
  <si>
    <t> </t>
  </si>
  <si>
    <t>DATOS A REVISAR</t>
  </si>
  <si>
    <t>INVENTARIOS INCLUIDOS</t>
  </si>
  <si>
    <t>RESUMEN DE INVENTARIO</t>
  </si>
  <si>
    <t>ARTÍCULO</t>
  </si>
  <si>
    <t>INGENIERIA</t>
  </si>
  <si>
    <t>ARIEL</t>
  </si>
  <si>
    <t>ANTHONY</t>
  </si>
  <si>
    <t>KENDALL</t>
  </si>
  <si>
    <t>FRANDER</t>
  </si>
  <si>
    <t>GERARDO</t>
  </si>
  <si>
    <t>FABIO</t>
  </si>
  <si>
    <t>LEONARDO</t>
  </si>
  <si>
    <t>FABRICIO</t>
  </si>
  <si>
    <t>BODEGA</t>
  </si>
  <si>
    <t>TOTAL</t>
  </si>
  <si>
    <t>INVENTARIO</t>
  </si>
  <si>
    <t>TOP 10 ARTÍCULOS</t>
  </si>
  <si>
    <t>ALICATE</t>
  </si>
  <si>
    <t>JUEGO LLAVES ALLEN</t>
  </si>
  <si>
    <t>ALICATE CORTAR</t>
  </si>
  <si>
    <t>ARNES</t>
  </si>
  <si>
    <t>ALICATE DE CORTAR</t>
  </si>
  <si>
    <t>GUANTES DE PROTECCIÓN</t>
  </si>
  <si>
    <t>ALICATE PARA CORTAR</t>
  </si>
  <si>
    <t>LÍNEA DE VIDA</t>
  </si>
  <si>
    <t>ALICATE PERRO</t>
  </si>
  <si>
    <t>RATCHET COROFIJA</t>
  </si>
  <si>
    <t>BOLSO PORTA HERRAMIENTAS</t>
  </si>
  <si>
    <t>BARBIQUEJO</t>
  </si>
  <si>
    <t>CASCO</t>
  </si>
  <si>
    <t>BOLSO PARA CASCO</t>
  </si>
  <si>
    <t>FOCO DE CABEZA</t>
  </si>
  <si>
    <t>BOLSO PARA LENTES</t>
  </si>
  <si>
    <t>LLAVE FRANCESA M</t>
  </si>
  <si>
    <t>BOTAS DE HULE</t>
  </si>
  <si>
    <t>BOTAS DE HULE 41</t>
  </si>
  <si>
    <t>CAJA DE HERRAMIENTAS</t>
  </si>
  <si>
    <t>CAPA L</t>
  </si>
  <si>
    <t>CAPA M</t>
  </si>
  <si>
    <t>CAPA XL Y L</t>
  </si>
  <si>
    <t>CASCO BLANCO</t>
  </si>
  <si>
    <t>CASCO TALLA</t>
  </si>
  <si>
    <t>CASCO TALLA L</t>
  </si>
  <si>
    <t>CASCO TALLA M</t>
  </si>
  <si>
    <t>CASCO TALLA S</t>
  </si>
  <si>
    <t>CINTA METRICA</t>
  </si>
  <si>
    <t>CINTA PUNTO DE ANCLAJE</t>
  </si>
  <si>
    <t>CINTURON DE LINIERO</t>
  </si>
  <si>
    <t>CUBO # 14</t>
  </si>
  <si>
    <t>CUBO #14</t>
  </si>
  <si>
    <t>CUBO #18</t>
  </si>
  <si>
    <t>CUBO 18</t>
  </si>
  <si>
    <t>CUCHILLA</t>
  </si>
  <si>
    <t>DESTORNILLADOR PHILLIPS G</t>
  </si>
  <si>
    <t>DESTORNILLADOR PHILLIPS M</t>
  </si>
  <si>
    <t>DESTORNILLADOR PHILLIPS P</t>
  </si>
  <si>
    <t>DESTORNILLADOR PLANO G</t>
  </si>
  <si>
    <t>DESTORNILLADOR PLANO M</t>
  </si>
  <si>
    <t>DESTORNILLADOR PLANO P</t>
  </si>
  <si>
    <t>ESCOBITA</t>
  </si>
  <si>
    <t>EXTENSION PARA CUBO</t>
  </si>
  <si>
    <t>FAJA DE POSICIONAMIENTO</t>
  </si>
  <si>
    <t>GUANTES DE PROTECCIÓN M</t>
  </si>
  <si>
    <t>GUANTES TIPO 00</t>
  </si>
  <si>
    <t>LENTES DE PROTECCION CLAROS</t>
  </si>
  <si>
    <t>LENTES DE PROTECCIÓN OSCUROS</t>
  </si>
  <si>
    <t>LENTES DE PROTECCION TRANSPARENTES</t>
  </si>
  <si>
    <t>LLAVE COROFIJA #30</t>
  </si>
  <si>
    <t>LLAVE CUBO PARA M-SIERRA</t>
  </si>
  <si>
    <t>LLAVE FRANCESA G</t>
  </si>
  <si>
    <t>LLAVE FRANCESA G 200MM</t>
  </si>
  <si>
    <t>LLAVE FRANCESA P</t>
  </si>
  <si>
    <t>MACHETE</t>
  </si>
  <si>
    <t>MARTILLO</t>
  </si>
  <si>
    <t>MASO</t>
  </si>
  <si>
    <t>MECATE</t>
  </si>
  <si>
    <t>PLOMO</t>
  </si>
  <si>
    <t>RATCHET</t>
  </si>
  <si>
    <t>RATCHET 1/2</t>
  </si>
  <si>
    <t>RATCHET CON CUBO</t>
  </si>
  <si>
    <t>RATCHET CON CUBO 14</t>
  </si>
  <si>
    <t>RATCHET COROFIJA 1\2,9\16</t>
  </si>
  <si>
    <t>ZAPATOS</t>
  </si>
  <si>
    <t>ZAPATOS 10</t>
  </si>
  <si>
    <t>ZAPATOS 11</t>
  </si>
  <si>
    <t>ZAPATOS 39</t>
  </si>
  <si>
    <t>ZAPATOS 40</t>
  </si>
  <si>
    <t>ZAPATOS 41</t>
  </si>
  <si>
    <t>ZAPATOS 42</t>
  </si>
  <si>
    <t>ZAPATOS 43</t>
  </si>
  <si>
    <t>EQUIPO INGENIERÍA</t>
  </si>
  <si>
    <t>este equipo esta proximo a estar auditado por parte de ingenieria en conjunto con contabilidad</t>
  </si>
  <si>
    <t>SOLICITUD DE ABONADOS</t>
  </si>
  <si>
    <t>SOLICITUD DE COLABORADORES</t>
  </si>
  <si>
    <t>Villegas Espinoza Kendall</t>
  </si>
  <si>
    <t>Vacaciones</t>
  </si>
  <si>
    <t>28/08/2026 15:01</t>
  </si>
  <si>
    <t>1 días</t>
  </si>
  <si>
    <t>Arrieta Carranza Leonardo Antonio</t>
  </si>
  <si>
    <t xml:space="preserve">
Orozco Reyes Ariel</t>
  </si>
  <si>
    <t>Varela Quirós Alex Alberto</t>
  </si>
  <si>
    <t>27/08/2026 17:01</t>
  </si>
  <si>
    <t>2 días</t>
  </si>
  <si>
    <t>Porras Duarte Olger Fermin</t>
  </si>
  <si>
    <t>Cita CCSS</t>
  </si>
  <si>
    <t>25/08/2026 17:01</t>
  </si>
  <si>
    <t>Araya Rodríguez Breiner Anthony</t>
  </si>
  <si>
    <t>24/08/2026 17:01</t>
  </si>
  <si>
    <t xml:space="preserve">
Retana Vargas Gerardo</t>
  </si>
  <si>
    <t>21/08/2026 15:01</t>
  </si>
  <si>
    <t>Soto González Javier David</t>
  </si>
  <si>
    <t xml:space="preserve">
Villegas Espinoza Kendall</t>
  </si>
  <si>
    <t>PLANES Y ACUERDOS DE INGENIERÍA</t>
  </si>
  <si>
    <t>Actividad / acuerdo</t>
  </si>
  <si>
    <t>QUEJAS – REGISTRO</t>
  </si>
  <si>
    <t>26/022029</t>
  </si>
  <si>
    <t xml:space="preserve">QUEJA POR EQUIPOS DAÑADOS </t>
  </si>
  <si>
    <t>OT-183539-Y6V8</t>
  </si>
  <si>
    <t xml:space="preserve">RESOLVER POR PARTE DE PLATAFORMA </t>
  </si>
  <si>
    <t>ILÍCITOS – REGISTRO</t>
  </si>
  <si>
    <t>28-abr-26</t>
  </si>
  <si>
    <t>H4422 SBA TORRES COSTA RICA LIMITADA</t>
  </si>
  <si>
    <t>REGISTRO DE PROYECTOS</t>
  </si>
  <si>
    <t>DASHBOARD DE PROYECTOS</t>
  </si>
  <si>
    <t>Todos los proyectos: pendientes, en proceso y completados</t>
  </si>
  <si>
    <t>Actualizado: 14/09/2026 11:00</t>
  </si>
  <si>
    <t>Total proyectos
8</t>
  </si>
  <si>
    <t>En proceso
4</t>
  </si>
  <si>
    <t>Pendientes
3</t>
  </si>
  <si>
    <t>Cantidad</t>
  </si>
  <si>
    <t>Tipo de proyecto</t>
  </si>
  <si>
    <t>Ruta</t>
  </si>
  <si>
    <t>Asociado</t>
  </si>
  <si>
    <t>A</t>
  </si>
  <si>
    <t>Pendiente</t>
  </si>
  <si>
    <t>Propio</t>
  </si>
  <si>
    <t>B</t>
  </si>
  <si>
    <t>Completado</t>
  </si>
  <si>
    <t>Compartido</t>
  </si>
  <si>
    <t>C</t>
  </si>
  <si>
    <t>H</t>
  </si>
  <si>
    <t>K</t>
  </si>
  <si>
    <t>M</t>
  </si>
  <si>
    <t>P</t>
  </si>
  <si>
    <t>DETALLE DE PROYECTOS ACTIVOS</t>
  </si>
  <si>
    <t>ID proyecto</t>
  </si>
  <si>
    <t>Descripción</t>
  </si>
  <si>
    <t>Tipo</t>
  </si>
  <si>
    <t>Inicio</t>
  </si>
  <si>
    <t>Finalización estimada</t>
  </si>
  <si>
    <t>Prioridad</t>
  </si>
  <si>
    <t>85-MP25-0051</t>
  </si>
  <si>
    <t>Banco reubicacion Semafoods</t>
  </si>
  <si>
    <t>69-MP23-0021</t>
  </si>
  <si>
    <t>Reubicacion de linea Laguna-Palmira</t>
  </si>
  <si>
    <t>Seguimiento</t>
  </si>
  <si>
    <t>15-MC26-0008</t>
  </si>
  <si>
    <t>Reubicacion de linea Biogenicos</t>
  </si>
  <si>
    <t>completado</t>
  </si>
  <si>
    <t>62-MP25-0035</t>
  </si>
  <si>
    <t>Reubicacion de linea volio pizzeria</t>
  </si>
  <si>
    <t>Atrasado</t>
  </si>
  <si>
    <t>68-MP25-0037</t>
  </si>
  <si>
    <t>Reubicacion de linea Tapezco-Palmira</t>
  </si>
  <si>
    <t>71-MP25-0040</t>
  </si>
  <si>
    <t>Reubicacion la marcuerna</t>
  </si>
  <si>
    <t>Próximo a vencer</t>
  </si>
  <si>
    <t>51-MP24-000028</t>
  </si>
  <si>
    <t>trifasico la barranquilla</t>
  </si>
  <si>
    <t>43-MC23-111186</t>
  </si>
  <si>
    <t>Reubicación de Transformador, Poste o Ancla</t>
  </si>
  <si>
    <t>Atención: 5 proyecto(s) con fecha estimada vencida.</t>
  </si>
  <si>
    <t>B      Reubicacion de linea Ana Tery</t>
  </si>
  <si>
    <t xml:space="preserve">PROPIO /ASOCIADO </t>
  </si>
  <si>
    <t>SEPTIEMBRE</t>
  </si>
  <si>
    <t xml:space="preserve">SEGUIMIENTO </t>
  </si>
  <si>
    <t xml:space="preserve">B      Reubicacion de laguna palmira </t>
  </si>
  <si>
    <t xml:space="preserve">PROPIO </t>
  </si>
  <si>
    <t>septiembre</t>
  </si>
  <si>
    <t>CONTROL DE STOCK MÍNIMO / MÁXIMO</t>
  </si>
  <si>
    <t>PROCESOS (PERSONAL, INVENTARIOS Y ARESEP) Y NORMATIVA</t>
  </si>
  <si>
    <t>CONTROL DE COMPRAS Y MATERIALES</t>
  </si>
  <si>
    <t>ELABORACIÓN DE PRESUPUESTOS DE PROYECTOS ELÉCTRICOS</t>
  </si>
  <si>
    <t>DISEÑO DE REDES ELÉCTRICAS</t>
  </si>
  <si>
    <t>Cumplidos</t>
  </si>
  <si>
    <t>Estado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</si>
</sst>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min&quot;"/>
    <numFmt numFmtId="165" formatCode="0.0"/>
    <numFmt numFmtId="166" formatCode="0.0%"/>
  </numFmts>
  <fonts count="5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7365D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6"/>
      <color rgb="FFFFFFFF"/>
      <name val="Aptos"/>
    </font>
    <font>
      <b/>
      <sz val="10"/>
      <color rgb="FF17365D"/>
      <name val="Aptos"/>
    </font>
    <font>
      <b/>
      <sz val="10"/>
      <color theme="1"/>
      <name val="Aptos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  <scheme val="minor"/>
    </font>
    <font>
      <b/>
      <sz val="20"/>
      <name val="Calibri"/>
      <family val="2"/>
    </font>
    <font>
      <i/>
      <sz val="11"/>
      <name val="Calibri"/>
      <family val="2"/>
    </font>
    <font>
      <i/>
      <sz val="11"/>
      <color rgb="FF667085"/>
      <name val="Calibri"/>
      <family val="2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B3261E"/>
      <name val="Aptos"/>
      <family val="2"/>
    </font>
    <font>
      <b/>
      <sz val="11"/>
      <color rgb="FF8A4B08"/>
      <name val="Aptos"/>
      <family val="2"/>
    </font>
    <font>
      <sz val="11"/>
      <color rgb="FF174EA6"/>
      <name val="Aptos"/>
      <family val="2"/>
    </font>
    <font>
      <b/>
      <sz val="11"/>
      <color rgb="FF137333"/>
      <name val="Aptos"/>
      <family val="2"/>
    </font>
    <font>
      <b/>
      <sz val="11"/>
      <color rgb="FFB3261E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  <scheme val="minor"/>
    </font>
    <font>
      <b/>
      <sz val="18"/>
      <color rgb="FFFFFFFF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sz val="16"/>
      <color rgb="FF17365D"/>
      <name val="Aptos"/>
    </font>
    <font>
      <b/>
      <sz val="16"/>
      <color rgb="FF385723"/>
      <name val="Aptos"/>
    </font>
    <font>
      <b/>
      <sz val="11"/>
      <color rgb="FFFFFFFF"/>
      <name val="Aptos"/>
    </font>
    <font>
      <b/>
      <sz val="11"/>
      <color rgb="FF52606D"/>
      <name val="Aptos"/>
      <family val="2"/>
    </font>
    <font>
      <sz val="11"/>
      <color rgb="FF52606D"/>
      <name val="Aptos"/>
      <family val="2"/>
    </font>
    <font>
      <b/>
      <sz val="16"/>
      <color rgb="FF000000"/>
      <name val="Aptos"/>
    </font>
    <font>
      <sz val="11"/>
      <color rgb="FF7F6000"/>
      <name val="Aptos"/>
    </font>
    <font>
      <b/>
      <sz val="11"/>
      <color rgb="FF9C0006"/>
      <name val="Aptos"/>
    </font>
    <font>
      <sz val="10"/>
      <color rgb="FF000000"/>
      <name val="Aptos"/>
    </font>
    <font>
      <sz val="11"/>
      <color rgb="FF374151"/>
      <name val="-Apple-System"/>
      <charset val="1"/>
    </font>
    <font>
      <sz val="10"/>
      <color rgb="FFFF0000"/>
      <name val="Aptos"/>
    </font>
    <font>
      <b/>
      <sz val="22"/>
      <color rgb="FFFFFFFF"/>
      <name val="Aptos"/>
    </font>
    <font>
      <sz val="11"/>
      <color rgb="FF17365D"/>
      <name val="Aptos"/>
    </font>
    <font>
      <sz val="10"/>
      <color rgb="FF7F6000"/>
      <name val="Aptos"/>
    </font>
    <font>
      <b/>
      <sz val="24"/>
      <color rgb="FF1F4E78"/>
      <name val="Aptos"/>
    </font>
    <font>
      <b/>
      <sz val="24"/>
      <color rgb="FF375623"/>
      <name val="Aptos"/>
    </font>
    <font>
      <b/>
      <sz val="24"/>
      <color rgb="FFC65911"/>
      <name val="Aptos"/>
    </font>
    <font>
      <b/>
      <sz val="24"/>
      <color rgb="FF595959"/>
      <name val="Aptos"/>
    </font>
    <font>
      <b/>
      <sz val="10"/>
      <color rgb="FF1F4E78"/>
      <name val="Aptos"/>
    </font>
    <font>
      <b/>
      <sz val="10"/>
      <color rgb="FF833C0C"/>
      <name val="Aptos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CE8E6"/>
        <bgColor rgb="FF000000"/>
      </patternFill>
    </fill>
    <fill>
      <patternFill patternType="solid">
        <fgColor rgb="FFFFF4CE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E6F4EA"/>
        <bgColor rgb="FF000000"/>
      </patternFill>
    </fill>
    <fill>
      <patternFill patternType="solid">
        <fgColor rgb="FFAAAAAA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7365D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rgb="FFACCBE7"/>
        <bgColor rgb="FF000000"/>
      </patternFill>
    </fill>
    <fill>
      <patternFill patternType="solid">
        <fgColor rgb="FF9ABFE0"/>
        <bgColor rgb="FF000000"/>
      </patternFill>
    </fill>
    <fill>
      <patternFill patternType="solid">
        <fgColor rgb="FFACCBE7"/>
        <bgColor rgb="FFD9E1F2"/>
      </patternFill>
    </fill>
    <fill>
      <patternFill patternType="solid">
        <fgColor rgb="FF76A6D2"/>
        <bgColor rgb="FF000000"/>
      </patternFill>
    </fill>
    <fill>
      <patternFill patternType="solid">
        <fgColor rgb="FF9ABFE0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000000"/>
      </patternFill>
    </fill>
    <fill>
      <patternFill patternType="solid">
        <fgColor rgb="FFF3F6F8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2CC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B7C9E2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auto="1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auto="1"/>
      </top>
      <bottom style="thin">
        <color rgb="FFD9E2F3"/>
      </bottom>
      <diagonal/>
    </border>
    <border>
      <left style="thin">
        <color rgb="FFD9E2F3"/>
      </left>
      <right/>
      <top style="thin">
        <color auto="1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auto="1"/>
      </bottom>
      <diagonal/>
    </border>
    <border>
      <left style="thin">
        <color rgb="FFD9E2F3"/>
      </left>
      <right/>
      <top style="thin">
        <color rgb="FFD9E2F3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2F75B5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3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top" wrapText="1"/>
    </xf>
    <xf numFmtId="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3" borderId="0" xfId="0" applyFont="1" applyFill="1" applyAlignment="1">
      <alignment horizontal="right"/>
    </xf>
    <xf numFmtId="0" fontId="3" fillId="0" borderId="0" xfId="0" applyFont="1" applyAlignment="1">
      <alignment horizontal="center" vertical="center" wrapText="1"/>
    </xf>
    <xf numFmtId="15" fontId="0" fillId="0" borderId="0" xfId="0" applyNumberFormat="1"/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17" fontId="12" fillId="0" borderId="0" xfId="0" applyNumberFormat="1" applyFont="1" applyAlignment="1">
      <alignment vertical="center" wrapText="1"/>
    </xf>
    <xf numFmtId="15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3" borderId="6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7" fontId="16" fillId="0" borderId="0" xfId="0" applyNumberFormat="1" applyFont="1" applyAlignment="1">
      <alignment vertical="center" wrapText="1"/>
    </xf>
    <xf numFmtId="15" fontId="12" fillId="0" borderId="3" xfId="0" applyNumberFormat="1" applyFont="1" applyBorder="1" applyAlignment="1">
      <alignment vertical="center" wrapText="1"/>
    </xf>
    <xf numFmtId="15" fontId="12" fillId="0" borderId="9" xfId="0" applyNumberFormat="1" applyFont="1" applyBorder="1" applyAlignment="1">
      <alignment vertical="center" wrapText="1"/>
    </xf>
    <xf numFmtId="15" fontId="12" fillId="0" borderId="5" xfId="0" applyNumberFormat="1" applyFont="1" applyBorder="1" applyAlignment="1">
      <alignment vertical="center" wrapText="1"/>
    </xf>
    <xf numFmtId="15" fontId="12" fillId="0" borderId="11" xfId="0" applyNumberFormat="1" applyFont="1" applyBorder="1" applyAlignment="1">
      <alignment vertical="center" wrapText="1"/>
    </xf>
    <xf numFmtId="0" fontId="16" fillId="3" borderId="0" xfId="0" applyFont="1" applyFill="1" applyAlignment="1">
      <alignment vertical="center" wrapText="1"/>
    </xf>
    <xf numFmtId="17" fontId="0" fillId="0" borderId="0" xfId="0" applyNumberFormat="1"/>
    <xf numFmtId="0" fontId="17" fillId="0" borderId="0" xfId="0" applyFont="1"/>
    <xf numFmtId="0" fontId="5" fillId="5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 wrapText="1"/>
    </xf>
    <xf numFmtId="15" fontId="0" fillId="0" borderId="15" xfId="0" applyNumberForma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8" fillId="9" borderId="0" xfId="0" applyFont="1" applyFill="1" applyAlignment="1">
      <alignment wrapText="1"/>
    </xf>
    <xf numFmtId="0" fontId="26" fillId="0" borderId="2" xfId="0" applyFont="1" applyBorder="1" applyAlignment="1">
      <alignment wrapText="1"/>
    </xf>
    <xf numFmtId="0" fontId="25" fillId="8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5" fontId="26" fillId="0" borderId="0" xfId="0" applyNumberFormat="1" applyFont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  <xf numFmtId="0" fontId="28" fillId="12" borderId="0" xfId="0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17" fillId="15" borderId="0" xfId="0" applyFont="1" applyFill="1"/>
    <xf numFmtId="0" fontId="32" fillId="15" borderId="0" xfId="0" applyFont="1" applyFill="1"/>
    <xf numFmtId="0" fontId="17" fillId="0" borderId="24" xfId="0" applyFont="1" applyBorder="1"/>
    <xf numFmtId="0" fontId="32" fillId="0" borderId="24" xfId="0" applyFont="1" applyBorder="1"/>
    <xf numFmtId="15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16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1" fontId="0" fillId="0" borderId="0" xfId="0" applyNumberFormat="1"/>
    <xf numFmtId="0" fontId="5" fillId="8" borderId="0" xfId="0" applyFont="1" applyFill="1"/>
    <xf numFmtId="14" fontId="0" fillId="0" borderId="0" xfId="0" applyNumberFormat="1"/>
    <xf numFmtId="0" fontId="0" fillId="0" borderId="0" xfId="0" applyAlignment="1">
      <alignment wrapText="1"/>
    </xf>
    <xf numFmtId="0" fontId="26" fillId="16" borderId="26" xfId="0" applyFont="1" applyFill="1" applyBorder="1" applyAlignment="1">
      <alignment horizontal="center" vertical="center" wrapText="1"/>
    </xf>
    <xf numFmtId="0" fontId="35" fillId="0" borderId="0" xfId="0" applyFont="1"/>
    <xf numFmtId="0" fontId="36" fillId="10" borderId="27" xfId="0" applyFont="1" applyFill="1" applyBorder="1"/>
    <xf numFmtId="0" fontId="37" fillId="10" borderId="27" xfId="0" applyFont="1" applyFill="1" applyBorder="1"/>
    <xf numFmtId="0" fontId="36" fillId="10" borderId="0" xfId="0" applyFont="1" applyFill="1"/>
    <xf numFmtId="0" fontId="38" fillId="18" borderId="27" xfId="0" applyFont="1" applyFill="1" applyBorder="1"/>
    <xf numFmtId="0" fontId="39" fillId="19" borderId="28" xfId="0" applyFont="1" applyFill="1" applyBorder="1"/>
    <xf numFmtId="0" fontId="39" fillId="19" borderId="29" xfId="0" applyFont="1" applyFill="1" applyBorder="1"/>
    <xf numFmtId="0" fontId="39" fillId="19" borderId="30" xfId="0" applyFont="1" applyFill="1" applyBorder="1"/>
    <xf numFmtId="0" fontId="39" fillId="19" borderId="0" xfId="0" applyFont="1" applyFill="1"/>
    <xf numFmtId="0" fontId="35" fillId="20" borderId="28" xfId="0" applyFont="1" applyFill="1" applyBorder="1"/>
    <xf numFmtId="0" fontId="35" fillId="21" borderId="29" xfId="0" applyFont="1" applyFill="1" applyBorder="1"/>
    <xf numFmtId="0" fontId="35" fillId="20" borderId="30" xfId="0" applyFont="1" applyFill="1" applyBorder="1"/>
    <xf numFmtId="0" fontId="35" fillId="0" borderId="28" xfId="0" applyFont="1" applyBorder="1"/>
    <xf numFmtId="0" fontId="35" fillId="22" borderId="29" xfId="0" applyFont="1" applyFill="1" applyBorder="1"/>
    <xf numFmtId="0" fontId="35" fillId="23" borderId="29" xfId="0" applyFont="1" applyFill="1" applyBorder="1"/>
    <xf numFmtId="0" fontId="35" fillId="0" borderId="30" xfId="0" applyFont="1" applyBorder="1"/>
    <xf numFmtId="0" fontId="35" fillId="24" borderId="29" xfId="0" applyFont="1" applyFill="1" applyBorder="1"/>
    <xf numFmtId="0" fontId="35" fillId="25" borderId="29" xfId="0" applyFont="1" applyFill="1" applyBorder="1"/>
    <xf numFmtId="0" fontId="35" fillId="26" borderId="29" xfId="0" applyFont="1" applyFill="1" applyBorder="1"/>
    <xf numFmtId="0" fontId="35" fillId="27" borderId="29" xfId="0" applyFont="1" applyFill="1" applyBorder="1"/>
    <xf numFmtId="0" fontId="35" fillId="19" borderId="29" xfId="0" applyFont="1" applyFill="1" applyBorder="1"/>
    <xf numFmtId="0" fontId="35" fillId="28" borderId="29" xfId="0" applyFont="1" applyFill="1" applyBorder="1"/>
    <xf numFmtId="0" fontId="35" fillId="29" borderId="29" xfId="0" applyFont="1" applyFill="1" applyBorder="1"/>
    <xf numFmtId="0" fontId="39" fillId="10" borderId="31" xfId="0" applyFont="1" applyFill="1" applyBorder="1"/>
    <xf numFmtId="0" fontId="39" fillId="10" borderId="32" xfId="0" applyFont="1" applyFill="1" applyBorder="1"/>
    <xf numFmtId="0" fontId="39" fillId="10" borderId="33" xfId="0" applyFont="1" applyFill="1" applyBorder="1"/>
    <xf numFmtId="0" fontId="35" fillId="30" borderId="31" xfId="0" applyFont="1" applyFill="1" applyBorder="1"/>
    <xf numFmtId="0" fontId="35" fillId="30" borderId="32" xfId="0" applyFont="1" applyFill="1" applyBorder="1"/>
    <xf numFmtId="10" fontId="35" fillId="30" borderId="32" xfId="0" applyNumberFormat="1" applyFont="1" applyFill="1" applyBorder="1"/>
    <xf numFmtId="0" fontId="43" fillId="31" borderId="33" xfId="0" applyFont="1" applyFill="1" applyBorder="1"/>
    <xf numFmtId="0" fontId="35" fillId="0" borderId="31" xfId="0" applyFont="1" applyBorder="1"/>
    <xf numFmtId="0" fontId="35" fillId="0" borderId="32" xfId="0" applyFont="1" applyBorder="1"/>
    <xf numFmtId="10" fontId="35" fillId="0" borderId="32" xfId="0" applyNumberFormat="1" applyFont="1" applyBorder="1"/>
    <xf numFmtId="0" fontId="44" fillId="33" borderId="33" xfId="0" applyFont="1" applyFill="1" applyBorder="1"/>
    <xf numFmtId="0" fontId="45" fillId="0" borderId="0" xfId="0" applyFont="1"/>
    <xf numFmtId="14" fontId="12" fillId="0" borderId="0" xfId="0" applyNumberFormat="1" applyFont="1" applyAlignment="1">
      <alignment vertical="center" wrapText="1"/>
    </xf>
    <xf numFmtId="1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46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22" fontId="46" fillId="4" borderId="0" xfId="0" applyNumberFormat="1" applyFont="1" applyFill="1" applyAlignment="1">
      <alignment horizontal="center"/>
    </xf>
    <xf numFmtId="0" fontId="46" fillId="4" borderId="0" xfId="0" applyFont="1" applyFill="1" applyAlignment="1">
      <alignment horizontal="center" wrapText="1"/>
    </xf>
    <xf numFmtId="0" fontId="47" fillId="0" borderId="0" xfId="0" applyFont="1" applyAlignment="1">
      <alignment vertical="center" wrapText="1"/>
    </xf>
    <xf numFmtId="0" fontId="46" fillId="4" borderId="0" xfId="0" applyFont="1" applyFill="1"/>
    <xf numFmtId="0" fontId="12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3" fillId="8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17" fontId="1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0" fontId="8" fillId="7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/>
    </xf>
    <xf numFmtId="0" fontId="34" fillId="17" borderId="0" xfId="0" applyFont="1" applyFill="1" applyAlignment="1">
      <alignment horizontal="center"/>
    </xf>
    <xf numFmtId="0" fontId="17" fillId="32" borderId="0" xfId="0" applyFont="1" applyFill="1" applyAlignment="1">
      <alignment wrapText="1"/>
    </xf>
    <xf numFmtId="0" fontId="32" fillId="31" borderId="0" xfId="0" applyFont="1" applyFill="1" applyAlignment="1">
      <alignment wrapText="1"/>
    </xf>
    <xf numFmtId="0" fontId="16" fillId="3" borderId="0" xfId="0" applyFont="1" applyFill="1" applyAlignment="1">
      <alignment vertical="center"/>
    </xf>
    <xf numFmtId="0" fontId="13" fillId="8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33" fillId="8" borderId="0" xfId="0" applyFont="1" applyFill="1" applyAlignment="1">
      <alignment horizontal="center" vertical="center"/>
    </xf>
    <xf numFmtId="0" fontId="2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3" fillId="10" borderId="18" xfId="0" applyFont="1" applyFill="1" applyBorder="1" applyAlignment="1">
      <alignment wrapText="1"/>
    </xf>
    <xf numFmtId="0" fontId="23" fillId="10" borderId="19" xfId="0" applyFont="1" applyFill="1" applyBorder="1" applyAlignment="1">
      <alignment wrapText="1"/>
    </xf>
    <xf numFmtId="0" fontId="23" fillId="10" borderId="20" xfId="0" applyFont="1" applyFill="1" applyBorder="1" applyAlignment="1">
      <alignment wrapText="1"/>
    </xf>
    <xf numFmtId="0" fontId="23" fillId="10" borderId="21" xfId="0" applyFont="1" applyFill="1" applyBorder="1" applyAlignment="1">
      <alignment wrapText="1"/>
    </xf>
    <xf numFmtId="0" fontId="23" fillId="10" borderId="22" xfId="0" applyFont="1" applyFill="1" applyBorder="1" applyAlignment="1">
      <alignment wrapText="1"/>
    </xf>
    <xf numFmtId="0" fontId="23" fillId="10" borderId="23" xfId="0" applyFont="1" applyFill="1" applyBorder="1" applyAlignment="1">
      <alignment wrapText="1"/>
    </xf>
    <xf numFmtId="0" fontId="12" fillId="4" borderId="0" xfId="0" applyFont="1" applyFill="1"/>
    <xf numFmtId="0" fontId="48" fillId="2" borderId="0" xfId="0" applyFont="1" applyFill="1" applyAlignment="1">
      <alignment horizontal="left"/>
    </xf>
    <xf numFmtId="0" fontId="13" fillId="34" borderId="0" xfId="0" applyFont="1" applyFill="1"/>
    <xf numFmtId="0" fontId="12" fillId="4" borderId="0" xfId="0" applyFont="1" applyFill="1" applyBorder="1"/>
    <xf numFmtId="0" fontId="12" fillId="4" borderId="2" xfId="0" applyFont="1" applyFill="1" applyBorder="1"/>
    <xf numFmtId="165" fontId="15" fillId="4" borderId="0" xfId="0" applyNumberFormat="1" applyFont="1" applyFill="1" applyBorder="1"/>
    <xf numFmtId="1" fontId="15" fillId="4" borderId="0" xfId="0" applyNumberFormat="1" applyFont="1" applyFill="1" applyBorder="1"/>
    <xf numFmtId="166" fontId="15" fillId="4" borderId="0" xfId="0" applyNumberFormat="1" applyFont="1" applyFill="1" applyBorder="1"/>
    <xf numFmtId="1" fontId="15" fillId="4" borderId="2" xfId="0" applyNumberFormat="1" applyFont="1" applyFill="1" applyBorder="1"/>
    <xf numFmtId="0" fontId="12" fillId="4" borderId="0" xfId="0" applyFont="1" applyFill="1" applyBorder="1" applyAlignment="1">
      <alignment wrapText="1"/>
    </xf>
    <xf numFmtId="0" fontId="12" fillId="4" borderId="2" xfId="0" applyFont="1" applyFill="1" applyBorder="1" applyAlignment="1">
      <alignment wrapText="1"/>
    </xf>
    <xf numFmtId="166" fontId="0" fillId="0" borderId="0" xfId="0" applyNumberFormat="1"/>
    <xf numFmtId="0" fontId="13" fillId="5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  <xf numFmtId="0" fontId="13" fillId="37" borderId="0" xfId="0" applyFont="1" applyFill="1" applyAlignment="1">
      <alignment horizontal="center"/>
    </xf>
    <xf numFmtId="0" fontId="13" fillId="38" borderId="0" xfId="0" applyFont="1" applyFill="1" applyAlignment="1">
      <alignment horizontal="center"/>
    </xf>
    <xf numFmtId="9" fontId="51" fillId="39" borderId="0" xfId="0" applyNumberFormat="1" applyFont="1" applyFill="1" applyAlignment="1">
      <alignment horizontal="center" vertical="center"/>
    </xf>
    <xf numFmtId="0" fontId="52" fillId="40" borderId="0" xfId="0" applyFont="1" applyFill="1" applyAlignment="1">
      <alignment horizontal="center" vertical="center"/>
    </xf>
    <xf numFmtId="0" fontId="53" fillId="41" borderId="0" xfId="0" applyFont="1" applyFill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5" fillId="35" borderId="0" xfId="0" applyFont="1" applyFill="1" applyAlignment="1">
      <alignment wrapText="1"/>
    </xf>
    <xf numFmtId="0" fontId="12" fillId="4" borderId="0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56" fillId="42" borderId="0" xfId="0" applyFont="1" applyFill="1"/>
    <xf numFmtId="0" fontId="50" fillId="43" borderId="0" xfId="0" applyFont="1" applyFill="1" applyAlignment="1">
      <alignment wrapText="1"/>
    </xf>
    <xf numFmtId="0" fontId="3" fillId="3" borderId="0" xfId="0" applyFont="1" applyFill="1" applyAlignment="1">
      <alignment horizontal="left"/>
    </xf>
    <xf numFmtId="17" fontId="4" fillId="4" borderId="1" xfId="0" applyNumberFormat="1" applyFont="1" applyFill="1" applyBorder="1" applyAlignment="1"/>
    <xf numFmtId="0" fontId="4" fillId="4" borderId="1" xfId="0" applyFont="1" applyFill="1" applyBorder="1" applyAlignment="1"/>
    <xf numFmtId="15" fontId="4" fillId="4" borderId="1" xfId="0" applyNumberFormat="1" applyFont="1" applyFill="1" applyBorder="1" applyAlignment="1"/>
    <xf numFmtId="0" fontId="0" fillId="6" borderId="0" xfId="0" applyFill="1" applyAlignment="1"/>
    <xf numFmtId="0" fontId="49" fillId="3" borderId="0" xfId="0" applyFont="1" applyFill="1" applyAlignment="1"/>
    <xf numFmtId="0" fontId="13" fillId="2" borderId="0" xfId="0" applyFont="1" applyFill="1" applyAlignment="1"/>
    <xf numFmtId="0" fontId="41" fillId="0" borderId="0" xfId="0" applyFont="1" applyAlignment="1"/>
    <xf numFmtId="0" fontId="36" fillId="10" borderId="0" xfId="0" applyFont="1" applyFill="1" applyAlignment="1"/>
    <xf numFmtId="0" fontId="42" fillId="0" borderId="0" xfId="0" applyFont="1" applyAlignment="1"/>
    <xf numFmtId="10" fontId="42" fillId="0" borderId="0" xfId="0" applyNumberFormat="1" applyFont="1" applyAlignment="1"/>
    <xf numFmtId="0" fontId="18" fillId="19" borderId="0" xfId="0" applyFont="1" applyFill="1" applyAlignment="1"/>
    <xf numFmtId="0" fontId="32" fillId="32" borderId="0" xfId="0" applyFont="1" applyFill="1" applyAlignment="1"/>
    <xf numFmtId="0" fontId="34" fillId="17" borderId="0" xfId="0" applyFont="1" applyFill="1" applyAlignment="1"/>
    <xf numFmtId="0" fontId="39" fillId="17" borderId="0" xfId="0" applyFont="1" applyFill="1" applyAlignment="1"/>
    <xf numFmtId="0" fontId="0" fillId="0" borderId="0" xfId="0" applyAlignment="1"/>
    <xf numFmtId="17" fontId="0" fillId="0" borderId="0" xfId="0" applyNumberFormat="1" applyAlignment="1"/>
    <xf numFmtId="0" fontId="31" fillId="11" borderId="0" xfId="0" applyFont="1" applyFill="1" applyAlignment="1"/>
  </cellXfs>
  <cellStyles count="1">
    <cellStyle name="Normal" xfId="0" builtinId="0"/>
  </cellStyles>
  <dxfs count="45"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1F4E78"/>
      </font>
      <fill>
        <patternFill patternType="solid">
          <fgColor indexed="64"/>
          <bgColor rgb="FFD9EAF7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numFmt numFmtId="19" formatCode="dd/mm/yyyy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dd/mm/yyyy"/>
    </dxf>
    <dxf>
      <alignment horizontal="left" vertical="center" wrapText="1"/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left" vertical="center" wrapText="1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numFmt numFmtId="164" formatCode="0\ &quot;min&quot;"/>
      <alignment horizontal="center" vertical="center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left" vertical="center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numFmt numFmtId="20" formatCode="dd\-mmm\-yy"/>
      <alignment horizontal="center" vertical="center"/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>
        <top style="thin">
          <color rgb="FFB4C6E7"/>
        </top>
      </border>
    </dxf>
    <dxf>
      <border>
        <bottom style="thin">
          <color rgb="FFB4C6E7"/>
        </bottom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</border>
    </dxf>
    <dxf>
      <alignment vertical="center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1"/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C00000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color rgb="FF999999"/>
      </font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Cumplimiento general (17 controles)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Data'!$E$1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9-41A2-B09D-6A42474678B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9-41A2-B09D-6A42474678B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E9-41A2-B09D-6A42474678B4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Data'!$D$2:$D$4</c:f>
              <c:strCache>
                <c:ptCount val="3"/>
                <c:pt idx="0">
                  <c:v>Cumplidos</c:v>
                </c:pt>
                <c:pt idx="1">
                  <c:v>Pendientes</c:v>
                </c:pt>
                <c:pt idx="2">
                  <c:v>N/A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9-41A2-B09D-6A424746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Controles por área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Cumplidos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Data'!$G$2:$G$3</c:f>
              <c:strCache>
                <c:ptCount val="2"/>
                <c:pt idx="0">
                  <c:v>Asistente de Ingeniería</c:v>
                </c:pt>
                <c:pt idx="1">
                  <c:v>Auxiliar Administrativo</c:v>
                </c:pt>
              </c:strCache>
            </c:strRef>
          </c:cat>
          <c:val>
            <c:numRef>
              <c:f>'Chart Data'!$H$2:$H$3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5-4A37-BF67-4D6633A5D264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Data'!$G$2:$G$3</c:f>
              <c:strCache>
                <c:ptCount val="2"/>
                <c:pt idx="0">
                  <c:v>Asistente de Ingeniería</c:v>
                </c:pt>
                <c:pt idx="1">
                  <c:v>Auxiliar Administrativo</c:v>
                </c:pt>
              </c:strCache>
            </c:strRef>
          </c:cat>
          <c:val>
            <c:numRef>
              <c:f>'Chart Data'!$I$2:$I$3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5-4A37-BF67-4D6633A5D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104711"/>
        <c:axId val="1540107783"/>
      </c:barChart>
      <c:catAx>
        <c:axId val="1540104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07783"/>
        <c:crosses val="autoZero"/>
        <c:auto val="1"/>
        <c:lblAlgn val="ctr"/>
        <c:lblOffset val="100"/>
        <c:noMultiLvlLbl val="0"/>
      </c:catAx>
      <c:valAx>
        <c:axId val="1540107783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04711"/>
        <c:crosses val="autoZero"/>
        <c:crossBetween val="between"/>
        <c:majorUnit val="2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Estado de los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F1-4F69-88D1-D3EC9A305D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F1-4F69-88D1-D3EC9A305D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F1-4F69-88D1-D3EC9A305D08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Data'!$D$7:$D$9</c:f>
              <c:strCache>
                <c:ptCount val="3"/>
                <c:pt idx="0">
                  <c:v>En proceso</c:v>
                </c:pt>
                <c:pt idx="1">
                  <c:v>Pendiente</c:v>
                </c:pt>
                <c:pt idx="2">
                  <c:v>Completado</c:v>
                </c:pt>
              </c:strCache>
            </c:strRef>
          </c:cat>
          <c:val>
            <c:numRef>
              <c:f>'Chart Data'!$E$7:$E$9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1-4F69-88D1-D3EC9A305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724743"/>
        <c:axId val="1540731911"/>
      </c:barChart>
      <c:catAx>
        <c:axId val="154072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31911"/>
        <c:crosses val="autoZero"/>
        <c:auto val="1"/>
        <c:lblAlgn val="ctr"/>
        <c:lblOffset val="100"/>
        <c:noMultiLvlLbl val="0"/>
      </c:catAx>
      <c:valAx>
        <c:axId val="15407319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24743"/>
        <c:crosses val="autoZero"/>
        <c:crossBetween val="between"/>
        <c:majorUnit val="1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Cobertura de herramientas por móvil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Data'!$H$6</c:f>
              <c:strCache>
                <c:ptCount val="1"/>
                <c:pt idx="0">
                  <c:v>Cobertura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6-4349-9B85-C3782F792C2A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A6-4349-9B85-C3782F792C2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A6-4349-9B85-C3782F792C2A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A6-4349-9B85-C3782F792C2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Data'!$G$7:$G$10</c:f>
              <c:strCache>
                <c:ptCount val="4"/>
                <c:pt idx="0">
                  <c:v>Móvil 01-27</c:v>
                </c:pt>
                <c:pt idx="1">
                  <c:v>Móvil 02-28</c:v>
                </c:pt>
                <c:pt idx="2">
                  <c:v>Móvil 25</c:v>
                </c:pt>
                <c:pt idx="3">
                  <c:v>Móvil 03-30</c:v>
                </c:pt>
              </c:strCache>
            </c:strRef>
          </c:cat>
          <c:val>
            <c:numRef>
              <c:f>'Chart Data'!$H$7:$H$10</c:f>
              <c:numCache>
                <c:formatCode>0.0%</c:formatCode>
                <c:ptCount val="4"/>
                <c:pt idx="0">
                  <c:v>0.97799999999999998</c:v>
                </c:pt>
                <c:pt idx="1">
                  <c:v>0.95699999999999996</c:v>
                </c:pt>
                <c:pt idx="2">
                  <c:v>0.109</c:v>
                </c:pt>
                <c:pt idx="3">
                  <c:v>0.95699999999999996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6-4349-9B85-C3782F79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083079"/>
        <c:axId val="1238085127"/>
      </c:barChart>
      <c:catAx>
        <c:axId val="1238083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85127"/>
        <c:crosses val="autoZero"/>
        <c:auto val="1"/>
        <c:lblAlgn val="ctr"/>
        <c:lblOffset val="100"/>
        <c:noMultiLvlLbl val="0"/>
      </c:catAx>
      <c:valAx>
        <c:axId val="123808512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8307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extra por empleado – Agosto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Horas extra totales</c:v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 Horas extra'!$A$14:$A$24</c:f>
              <c:strCache>
                <c:ptCount val="11"/>
                <c:pt idx="0">
                  <c:v>     Araya Pérez Diego Andrés</c:v>
                </c:pt>
                <c:pt idx="1">
                  <c:v>     Araya Rodríguez Breiner Anthony</c:v>
                </c:pt>
                <c:pt idx="2">
                  <c:v>     Arrieta Carranza Leonardo Antonio</c:v>
                </c:pt>
                <c:pt idx="3">
                  <c:v>     Garita Lopez Emerson</c:v>
                </c:pt>
                <c:pt idx="4">
                  <c:v>     Orozco Reyes Ariel</c:v>
                </c:pt>
                <c:pt idx="5">
                  <c:v>     Porras Duarte Olger Fermin</c:v>
                </c:pt>
                <c:pt idx="6">
                  <c:v>     Retana Vargas Gerardo</c:v>
                </c:pt>
                <c:pt idx="7">
                  <c:v>     Soto González Javier David</c:v>
                </c:pt>
                <c:pt idx="8">
                  <c:v>     Tencio Alvarado José Fabio</c:v>
                </c:pt>
                <c:pt idx="9">
                  <c:v>     Villegas Espinoza Frander</c:v>
                </c:pt>
                <c:pt idx="10">
                  <c:v>     Villegas Espinoza Kendall</c:v>
                </c:pt>
              </c:strCache>
            </c:strRef>
          </c:cat>
          <c:val>
            <c:numRef>
              <c:f>'02 Horas extra'!$D$14:$D$24</c:f>
              <c:numCache>
                <c:formatCode>General</c:formatCode>
                <c:ptCount val="11"/>
                <c:pt idx="0">
                  <c:v>21</c:v>
                </c:pt>
                <c:pt idx="1">
                  <c:v>20.5</c:v>
                </c:pt>
                <c:pt idx="2">
                  <c:v>13.83333333</c:v>
                </c:pt>
                <c:pt idx="3">
                  <c:v>9</c:v>
                </c:pt>
                <c:pt idx="4">
                  <c:v>20</c:v>
                </c:pt>
                <c:pt idx="5">
                  <c:v>24.5</c:v>
                </c:pt>
                <c:pt idx="6">
                  <c:v>7.5</c:v>
                </c:pt>
                <c:pt idx="7">
                  <c:v>35</c:v>
                </c:pt>
                <c:pt idx="8">
                  <c:v>5.5</c:v>
                </c:pt>
                <c:pt idx="9">
                  <c:v>20</c:v>
                </c:pt>
                <c:pt idx="1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E-4316-BE03-6448D8FA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359559"/>
        <c:axId val="46366215"/>
      </c:barChart>
      <c:catAx>
        <c:axId val="46359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6215"/>
        <c:crosses val="autoZero"/>
        <c:auto val="1"/>
        <c:lblAlgn val="ctr"/>
        <c:lblOffset val="100"/>
        <c:noMultiLvlLbl val="0"/>
      </c:catAx>
      <c:valAx>
        <c:axId val="46366215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955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Minutos de tardía por empleado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Minutos de tardía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&quot; min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Data'!$A$2:$A$7</c:f>
              <c:strCache>
                <c:ptCount val="6"/>
                <c:pt idx="0">
                  <c:v>FRANDER VILLEGAS </c:v>
                </c:pt>
                <c:pt idx="1">
                  <c:v>LEONARDO ARRIETA CARRANZA</c:v>
                </c:pt>
                <c:pt idx="2">
                  <c:v>EMERSON GARITA </c:v>
                </c:pt>
                <c:pt idx="3">
                  <c:v>JAVIER SOTO GONZALES</c:v>
                </c:pt>
                <c:pt idx="4">
                  <c:v>ANTHONY ARAYA RODRIGUEZ</c:v>
                </c:pt>
                <c:pt idx="5">
                  <c:v>ARIEL OROZCO REYES</c:v>
                </c:pt>
              </c:strCache>
            </c:strRef>
          </c:cat>
          <c:val>
            <c:numRef>
              <c:f>'Chart Data'!$B$2:$B$7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4-44E5-8D1C-FDE72887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31271"/>
        <c:axId val="129937927"/>
      </c:barChart>
      <c:catAx>
        <c:axId val="1299312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37927"/>
        <c:crosses val="autoZero"/>
        <c:auto val="1"/>
        <c:lblAlgn val="ctr"/>
        <c:lblOffset val="100"/>
        <c:noMultiLvlLbl val="0"/>
      </c:catAx>
      <c:valAx>
        <c:axId val="129937927"/>
        <c:scaling>
          <c:orientation val="minMax"/>
          <c:max val="25"/>
          <c:min val="0"/>
        </c:scaling>
        <c:delete val="0"/>
        <c:axPos val="t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3127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umplimiento general">
          <a:extLst>
            <a:ext uri="{FF2B5EF4-FFF2-40B4-BE49-F238E27FC236}">
              <a16:creationId xmlns:a16="http://schemas.microsoft.com/office/drawing/2014/main" id="{F3D04E0E-D2FA-1EB6-5B92-B405938B5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4" name="Cumplimiento por área">
          <a:extLst>
            <a:ext uri="{FF2B5EF4-FFF2-40B4-BE49-F238E27FC236}">
              <a16:creationId xmlns:a16="http://schemas.microsoft.com/office/drawing/2014/main" id="{28D6B934-6BC1-8B91-977E-1EAFA805818F}"/>
            </a:ext>
            <a:ext uri="{147F2762-F138-4A5C-976F-8EAC2B608ADB}">
              <a16:predDERef xmlns:a16="http://schemas.microsoft.com/office/drawing/2014/main" pred="{F3D04E0E-D2FA-1EB6-5B92-B405938B5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5" name="Estado de proyectos">
          <a:extLst>
            <a:ext uri="{FF2B5EF4-FFF2-40B4-BE49-F238E27FC236}">
              <a16:creationId xmlns:a16="http://schemas.microsoft.com/office/drawing/2014/main" id="{02A3E2C1-0B7E-BE24-CA3E-65FEE2251E23}"/>
            </a:ext>
            <a:ext uri="{147F2762-F138-4A5C-976F-8EAC2B608ADB}">
              <a16:predDERef xmlns:a16="http://schemas.microsoft.com/office/drawing/2014/main" pred="{28D6B934-6BC1-8B91-977E-1EAFA8058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17</xdr:col>
      <xdr:colOff>0</xdr:colOff>
      <xdr:row>61</xdr:row>
      <xdr:rowOff>0</xdr:rowOff>
    </xdr:to>
    <xdr:graphicFrame macro="">
      <xdr:nvGraphicFramePr>
        <xdr:cNvPr id="6" name="Cobertura herramientas móviles">
          <a:extLst>
            <a:ext uri="{FF2B5EF4-FFF2-40B4-BE49-F238E27FC236}">
              <a16:creationId xmlns:a16="http://schemas.microsoft.com/office/drawing/2014/main" id="{549201E7-BDF8-C1D9-1EAE-1BD2A31B81E8}"/>
            </a:ext>
            <a:ext uri="{147F2762-F138-4A5C-976F-8EAC2B608ADB}">
              <a16:predDERef xmlns:a16="http://schemas.microsoft.com/office/drawing/2014/main" pred="{02A3E2C1-0B7E-BE24-CA3E-65FEE2251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10</xdr:row>
      <xdr:rowOff>9525</xdr:rowOff>
    </xdr:from>
    <xdr:to>
      <xdr:col>14</xdr:col>
      <xdr:colOff>123825</xdr:colOff>
      <xdr:row>24</xdr:row>
      <xdr:rowOff>0</xdr:rowOff>
    </xdr:to>
    <xdr:graphicFrame macro="">
      <xdr:nvGraphicFramePr>
        <xdr:cNvPr id="2" name="Horas extra por empleado">
          <a:extLst>
            <a:ext uri="{FF2B5EF4-FFF2-40B4-BE49-F238E27FC236}">
              <a16:creationId xmlns:a16="http://schemas.microsoft.com/office/drawing/2014/main" id="{A4E34290-E06E-4A94-9C20-D8DEEA0A4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12</xdr:row>
      <xdr:rowOff>38100</xdr:rowOff>
    </xdr:from>
    <xdr:to>
      <xdr:col>12</xdr:col>
      <xdr:colOff>104775</xdr:colOff>
      <xdr:row>25</xdr:row>
      <xdr:rowOff>314325</xdr:rowOff>
    </xdr:to>
    <xdr:graphicFrame macro="">
      <xdr:nvGraphicFramePr>
        <xdr:cNvPr id="2" name="Tardías por empleado">
          <a:extLst>
            <a:ext uri="{FF2B5EF4-FFF2-40B4-BE49-F238E27FC236}">
              <a16:creationId xmlns:a16="http://schemas.microsoft.com/office/drawing/2014/main" id="{2B8C41D4-D7F6-44F0-A25A-922CBCB5AF77}"/>
            </a:ext>
            <a:ext uri="{147F2762-F138-4A5C-976F-8EAC2B608ADB}">
              <a16:predDERef xmlns:a16="http://schemas.microsoft.com/office/drawing/2014/main" pred="{BC96D5C9-CE63-43B2-D068-CBB7B0A3B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FB2257-AB74-4629-B50C-212D73FF8CC9}" name="TablaTardias" displayName="TablaTardias" ref="A13:E26" totalsRowShown="0" headerRowDxfId="37" dataDxfId="36" headerRowBorderDxfId="34" tableBorderDxfId="35" totalsRowBorderDxfId="33">
  <autoFilter ref="A13:E26" xr:uid="{A3FB2257-AB74-4629-B50C-212D73FF8CC9}"/>
  <tableColumns count="5">
    <tableColumn id="1" xr3:uid="{9ADCA6CC-1504-4A58-88AF-8CD56139ADBD}" name="Fecha" dataDxfId="32"/>
    <tableColumn id="2" xr3:uid="{6EBF8120-9273-4AAD-B15B-7F5D0AFF6507}" name="Empleado" dataDxfId="31"/>
    <tableColumn id="5" xr3:uid="{1F6B7142-5D1F-4D27-9336-25C132A2675C}" name="Minutos de tardía" dataDxfId="30"/>
    <tableColumn id="6" xr3:uid="{EEF35E79-8B8A-4DFD-9DD4-F2498042E0A0}" name="Motivo" dataDxfId="29"/>
    <tableColumn id="7" xr3:uid="{CE6DF761-E7D8-4ABE-9017-473D8B714AC5}" name="Justificació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0BB01-17B7-4357-A31C-22C61AF848CE}" name="TablaPlanesAcuerdos" displayName="TablaPlanesAcuerdos" ref="A13:H14" totalsRowShown="0">
  <autoFilter ref="A13:H14" xr:uid="{6BC0BB01-17B7-4357-A31C-22C61AF848CE}"/>
  <tableColumns count="8">
    <tableColumn id="1" xr3:uid="{D72372F0-E9DA-45E3-BBCE-DEC3F558B9B3}" name="Fecha" dataDxfId="27"/>
    <tableColumn id="2" xr3:uid="{6ADADD5E-8D8F-4FBB-AB99-B62FC71A6AF3}" name="Actividad / acuerdo" dataDxfId="26"/>
    <tableColumn id="3" xr3:uid="{CA79E7B8-AC67-4542-B3FB-94F46F807481}" name="Responsable" dataDxfId="25"/>
    <tableColumn id="4" xr3:uid="{E7887163-95DA-43F6-A17B-8AAAFEDDAC21}" name="Estado" dataDxfId="24"/>
    <tableColumn id="5" xr3:uid="{354D6841-B534-42DF-BC39-067F91ED694C}" name="Evidencia / referencia" dataDxfId="23"/>
    <tableColumn id="6" xr3:uid="{E244E2C2-0DAC-40E6-B2B2-2402D7FF0171}" name="Observaciones" dataDxfId="22"/>
    <tableColumn id="7" xr3:uid="{CAC9834D-C25A-40A8-8EF3-93FEA96539B2}" name="Próxima acción" dataDxfId="21"/>
    <tableColumn id="8" xr3:uid="{B103C291-63CC-4BAD-9625-1912EEA0EC12}" name="Fecha compromiso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A955CF-CFEF-4478-AE83-942D6C85B55C}" name="TablaProyectos" displayName="TablaProyectos" ref="A39:H47" totalsRowShown="0" headerRowDxfId="9" dataDxfId="8">
  <autoFilter ref="A39:H47" xr:uid="{B9A955CF-CFEF-4478-AE83-942D6C85B55C}"/>
  <tableColumns count="8">
    <tableColumn id="1" xr3:uid="{F44B738E-41A2-44D9-9432-E12381C59909}" name="ID proyecto" dataDxfId="7"/>
    <tableColumn id="2" xr3:uid="{DA5F7C93-3D6A-4DE6-B8C3-2CAE7F712F7D}" name="Ruta" dataDxfId="6"/>
    <tableColumn id="3" xr3:uid="{9BB479C7-FDB9-4BBB-8D2B-20C68E258175}" name="Descripción" dataDxfId="5"/>
    <tableColumn id="4" xr3:uid="{43047710-0F4D-4201-89EF-E084A696B67E}" name="Estado" dataDxfId="4"/>
    <tableColumn id="5" xr3:uid="{A7CA3FD7-5988-4857-9D15-4BE333B62676}" name="Tipo" dataDxfId="3"/>
    <tableColumn id="6" xr3:uid="{A852B859-E216-4A36-A02C-F563DEB4CC8F}" name="Inicio" dataDxfId="2"/>
    <tableColumn id="7" xr3:uid="{E2D7090E-DD43-4A5F-9931-B2BE81507563}" name="Finalización estimada" dataDxfId="1"/>
    <tableColumn id="8" xr3:uid="{028D2856-AC9B-4E3D-BBF9-847C789F9942}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showGridLines="0" zoomScale="80" zoomScaleNormal="80" workbookViewId="0">
      <pane ySplit="5" topLeftCell="A38" activePane="bottomLeft" state="frozen"/>
      <selection pane="bottomLeft" activeCell="E18" sqref="E18"/>
    </sheetView>
  </sheetViews>
  <sheetFormatPr defaultColWidth="8.85546875" defaultRowHeight="14.45"/>
  <cols>
    <col min="1" max="1" width="5.7109375" customWidth="1"/>
    <col min="2" max="2" width="48.7109375" customWidth="1"/>
    <col min="3" max="3" width="73.7109375" customWidth="1"/>
    <col min="4" max="4" width="39.85546875" customWidth="1"/>
    <col min="5" max="5" width="10.7109375" customWidth="1"/>
    <col min="6" max="6" width="9.7109375" customWidth="1"/>
    <col min="7" max="7" width="34.42578125" customWidth="1"/>
  </cols>
  <sheetData>
    <row r="1" spans="1:7" ht="21">
      <c r="A1" s="121" t="s">
        <v>0</v>
      </c>
      <c r="B1" s="121"/>
      <c r="C1" s="121"/>
      <c r="D1" s="121"/>
      <c r="E1" s="121"/>
      <c r="F1" s="121"/>
      <c r="G1" s="121"/>
    </row>
    <row r="2" spans="1:7">
      <c r="A2" s="122" t="s">
        <v>1</v>
      </c>
      <c r="B2" s="122"/>
      <c r="C2" s="122"/>
      <c r="D2" s="122"/>
      <c r="E2" s="122"/>
      <c r="F2" s="122"/>
      <c r="G2" s="122"/>
    </row>
    <row r="3" spans="1:7">
      <c r="A3" s="1" t="s">
        <v>2</v>
      </c>
      <c r="B3" s="174">
        <v>46266</v>
      </c>
      <c r="C3" s="175"/>
      <c r="D3" s="12" t="s">
        <v>3</v>
      </c>
      <c r="E3" s="175" t="s">
        <v>4</v>
      </c>
      <c r="F3" s="175"/>
      <c r="G3" s="175"/>
    </row>
    <row r="4" spans="1:7">
      <c r="A4" s="1" t="s">
        <v>5</v>
      </c>
      <c r="B4" s="176">
        <v>46295</v>
      </c>
      <c r="C4" s="175"/>
      <c r="D4" s="12" t="s">
        <v>6</v>
      </c>
      <c r="E4" s="175" t="s">
        <v>7</v>
      </c>
      <c r="F4" s="175"/>
      <c r="G4" s="175"/>
    </row>
    <row r="5" spans="1:7" ht="34.9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13.9" customHeight="1">
      <c r="A6" s="123" t="s">
        <v>15</v>
      </c>
      <c r="B6" s="123"/>
      <c r="C6" s="123"/>
      <c r="D6" s="123"/>
      <c r="E6" s="123"/>
      <c r="F6" s="123"/>
      <c r="G6" s="123"/>
    </row>
    <row r="7" spans="1:7" ht="13.9" customHeight="1">
      <c r="A7" s="7">
        <v>1</v>
      </c>
      <c r="B7" s="9" t="s">
        <v>16</v>
      </c>
      <c r="C7" s="8" t="s">
        <v>17</v>
      </c>
      <c r="D7" s="8" t="s">
        <v>18</v>
      </c>
      <c r="E7" s="3" t="b">
        <v>1</v>
      </c>
      <c r="F7" s="3" t="b">
        <v>0</v>
      </c>
      <c r="G7" s="4"/>
    </row>
    <row r="8" spans="1:7" ht="13.9" customHeight="1">
      <c r="A8" s="7">
        <v>2</v>
      </c>
      <c r="B8" s="9" t="s">
        <v>19</v>
      </c>
      <c r="C8" s="8" t="s">
        <v>20</v>
      </c>
      <c r="D8" s="8" t="s">
        <v>21</v>
      </c>
      <c r="E8" s="3" t="b">
        <v>1</v>
      </c>
      <c r="F8" s="3" t="b">
        <v>0</v>
      </c>
      <c r="G8" s="4"/>
    </row>
    <row r="9" spans="1:7" ht="13.9" customHeight="1">
      <c r="A9" s="7">
        <v>3</v>
      </c>
      <c r="B9" s="9" t="s">
        <v>22</v>
      </c>
      <c r="C9" s="8" t="s">
        <v>23</v>
      </c>
      <c r="D9" s="8" t="s">
        <v>21</v>
      </c>
      <c r="E9" s="3" t="b">
        <v>1</v>
      </c>
      <c r="F9" s="3" t="b">
        <v>0</v>
      </c>
      <c r="G9" s="4"/>
    </row>
    <row r="10" spans="1:7" ht="15" customHeight="1">
      <c r="A10" s="7">
        <v>4</v>
      </c>
      <c r="B10" s="9" t="s">
        <v>24</v>
      </c>
      <c r="C10" s="8" t="s">
        <v>25</v>
      </c>
      <c r="D10" s="8" t="s">
        <v>21</v>
      </c>
      <c r="E10" s="3" t="b">
        <v>1</v>
      </c>
      <c r="F10" s="3" t="b">
        <v>0</v>
      </c>
      <c r="G10" s="4"/>
    </row>
    <row r="11" spans="1:7" ht="17.45" customHeight="1">
      <c r="A11" s="7">
        <v>5</v>
      </c>
      <c r="B11" s="9" t="s">
        <v>26</v>
      </c>
      <c r="C11" s="8" t="s">
        <v>27</v>
      </c>
      <c r="D11" s="8" t="s">
        <v>21</v>
      </c>
      <c r="E11" s="3" t="b">
        <v>1</v>
      </c>
      <c r="F11" s="3" t="b">
        <v>0</v>
      </c>
      <c r="G11" s="4"/>
    </row>
    <row r="12" spans="1:7" ht="16.149999999999999" customHeight="1">
      <c r="A12" s="7">
        <v>6</v>
      </c>
      <c r="B12" s="9" t="s">
        <v>28</v>
      </c>
      <c r="C12" s="8" t="s">
        <v>29</v>
      </c>
      <c r="D12" s="8" t="s">
        <v>21</v>
      </c>
      <c r="E12" s="3" t="b">
        <v>0</v>
      </c>
      <c r="F12" s="3" t="b">
        <v>0</v>
      </c>
      <c r="G12" s="4"/>
    </row>
    <row r="13" spans="1:7" ht="15.6" customHeight="1">
      <c r="A13" s="7">
        <v>7</v>
      </c>
      <c r="B13" s="9" t="s">
        <v>30</v>
      </c>
      <c r="C13" s="8" t="s">
        <v>31</v>
      </c>
      <c r="D13" s="8" t="s">
        <v>32</v>
      </c>
      <c r="E13" s="3" t="b">
        <v>0</v>
      </c>
      <c r="F13" s="3" t="b">
        <v>0</v>
      </c>
      <c r="G13" s="4"/>
    </row>
    <row r="14" spans="1:7" ht="13.9" customHeight="1">
      <c r="A14" s="7">
        <v>8</v>
      </c>
      <c r="B14" s="9" t="s">
        <v>33</v>
      </c>
      <c r="C14" s="8" t="s">
        <v>34</v>
      </c>
      <c r="D14" s="8" t="s">
        <v>21</v>
      </c>
      <c r="E14" s="3" t="b">
        <v>1</v>
      </c>
      <c r="F14" s="3" t="b">
        <v>0</v>
      </c>
      <c r="G14" s="4"/>
    </row>
    <row r="15" spans="1:7" ht="13.9" customHeight="1">
      <c r="A15" s="7">
        <v>9</v>
      </c>
      <c r="B15" s="9" t="s">
        <v>35</v>
      </c>
      <c r="C15" s="8" t="s">
        <v>36</v>
      </c>
      <c r="D15" s="8" t="s">
        <v>37</v>
      </c>
      <c r="E15" s="3" t="b">
        <v>0</v>
      </c>
      <c r="F15" s="3" t="b">
        <v>0</v>
      </c>
      <c r="G15" s="4"/>
    </row>
    <row r="16" spans="1:7" ht="16.149999999999999" customHeight="1">
      <c r="A16" s="7">
        <v>10</v>
      </c>
      <c r="B16" s="9" t="s">
        <v>38</v>
      </c>
      <c r="C16" s="8" t="s">
        <v>39</v>
      </c>
      <c r="D16" s="8" t="s">
        <v>21</v>
      </c>
      <c r="E16" s="3" t="b">
        <v>1</v>
      </c>
      <c r="F16" s="3" t="b">
        <v>0</v>
      </c>
      <c r="G16" s="4"/>
    </row>
    <row r="17" spans="1:7" ht="17.45" customHeight="1">
      <c r="A17" s="7">
        <v>11</v>
      </c>
      <c r="B17" s="9" t="s">
        <v>40</v>
      </c>
      <c r="C17" s="8" t="s">
        <v>41</v>
      </c>
      <c r="D17" s="8" t="s">
        <v>42</v>
      </c>
      <c r="E17" s="3" t="b">
        <v>1</v>
      </c>
      <c r="F17" s="3" t="b">
        <v>0</v>
      </c>
      <c r="G17" s="4"/>
    </row>
    <row r="18" spans="1:7" ht="17.45" customHeight="1">
      <c r="A18" s="7">
        <v>12</v>
      </c>
      <c r="B18" s="9" t="s">
        <v>43</v>
      </c>
      <c r="C18" s="8" t="s">
        <v>44</v>
      </c>
      <c r="D18" s="8" t="s">
        <v>21</v>
      </c>
      <c r="E18" s="3" t="b">
        <v>1</v>
      </c>
      <c r="F18" s="3" t="b">
        <v>0</v>
      </c>
      <c r="G18" s="4"/>
    </row>
    <row r="19" spans="1:7" ht="16.149999999999999" customHeight="1">
      <c r="A19" s="128" t="s">
        <v>45</v>
      </c>
      <c r="B19" s="128"/>
      <c r="C19" s="128"/>
      <c r="D19" s="128"/>
      <c r="E19" s="128"/>
      <c r="F19" s="128"/>
      <c r="G19" s="128"/>
    </row>
    <row r="20" spans="1:7" ht="13.9" customHeight="1">
      <c r="A20" s="7">
        <v>13</v>
      </c>
      <c r="B20" s="9" t="s">
        <v>46</v>
      </c>
      <c r="C20" s="8" t="s">
        <v>47</v>
      </c>
      <c r="D20" s="8" t="s">
        <v>48</v>
      </c>
      <c r="E20" s="3" t="b">
        <v>0</v>
      </c>
      <c r="F20" s="3" t="b">
        <v>0</v>
      </c>
      <c r="G20" s="4"/>
    </row>
    <row r="21" spans="1:7" ht="16.899999999999999" customHeight="1">
      <c r="A21" s="7">
        <v>14</v>
      </c>
      <c r="B21" s="10" t="s">
        <v>49</v>
      </c>
      <c r="C21" s="11" t="s">
        <v>50</v>
      </c>
      <c r="D21" s="11" t="s">
        <v>51</v>
      </c>
      <c r="E21" s="3" t="b">
        <v>0</v>
      </c>
      <c r="F21" s="3" t="b">
        <v>0</v>
      </c>
      <c r="G21" s="4"/>
    </row>
    <row r="22" spans="1:7" ht="16.149999999999999" customHeight="1">
      <c r="A22" s="7">
        <v>15</v>
      </c>
      <c r="B22" s="9" t="s">
        <v>52</v>
      </c>
      <c r="C22" s="8" t="s">
        <v>53</v>
      </c>
      <c r="D22" s="8" t="s">
        <v>54</v>
      </c>
      <c r="E22" s="3" t="b">
        <v>0</v>
      </c>
      <c r="F22" s="3" t="b">
        <v>0</v>
      </c>
      <c r="G22" s="4"/>
    </row>
    <row r="23" spans="1:7" ht="17.45" customHeight="1">
      <c r="A23" s="7">
        <v>16</v>
      </c>
      <c r="B23" s="9" t="s">
        <v>55</v>
      </c>
      <c r="C23" s="8" t="s">
        <v>56</v>
      </c>
      <c r="D23" s="8" t="s">
        <v>57</v>
      </c>
      <c r="E23" s="3" t="b">
        <v>0</v>
      </c>
      <c r="F23" s="3" t="b">
        <v>0</v>
      </c>
      <c r="G23" s="4"/>
    </row>
    <row r="24" spans="1:7" ht="17.45" customHeight="1">
      <c r="A24" s="7">
        <v>17</v>
      </c>
      <c r="B24" s="9" t="s">
        <v>58</v>
      </c>
      <c r="C24" s="8" t="s">
        <v>59</v>
      </c>
      <c r="D24" s="8" t="s">
        <v>60</v>
      </c>
      <c r="E24" s="3" t="b">
        <v>0</v>
      </c>
      <c r="F24" s="3" t="b">
        <v>0</v>
      </c>
      <c r="G24" s="4"/>
    </row>
    <row r="27" spans="1:7" ht="17.45" customHeight="1">
      <c r="A27" s="124" t="s">
        <v>61</v>
      </c>
      <c r="B27" s="124"/>
      <c r="C27" s="124"/>
      <c r="D27" s="124"/>
      <c r="E27" s="5">
        <f>IFERROR(COUNTIFS(E6:E24,TRUE,F6:F24,FALSE)/COUNTIF(F6:F24,FALSE),0)</f>
        <v>0.52941176470588236</v>
      </c>
      <c r="F27" s="125"/>
      <c r="G27" s="125"/>
    </row>
    <row r="29" spans="1:7" ht="47.45" customHeight="1">
      <c r="A29" s="13"/>
      <c r="B29" s="126">
        <f>E27</f>
        <v>0.52941176470588236</v>
      </c>
      <c r="C29" s="177"/>
      <c r="D29" s="177"/>
      <c r="E29" s="177"/>
      <c r="F29" s="177"/>
      <c r="G29" s="177"/>
    </row>
    <row r="30" spans="1:7">
      <c r="A30" t="s">
        <v>62</v>
      </c>
      <c r="B30" s="6">
        <f>COUNTIFS(E6:E24,TRUE,F6:F24,FALSE)</f>
        <v>9</v>
      </c>
      <c r="C30" s="1" t="s">
        <v>63</v>
      </c>
      <c r="D30" s="6">
        <f>COUNTIFS(E6:E24,FALSE,F6:F24,FALSE)</f>
        <v>8</v>
      </c>
      <c r="E30" s="1" t="s">
        <v>64</v>
      </c>
      <c r="F30" s="6">
        <f>COUNTIF(F6:F24,TRUE)</f>
        <v>0</v>
      </c>
    </row>
    <row r="31" spans="1:7">
      <c r="B31" s="127"/>
      <c r="C31" s="127"/>
      <c r="D31" s="127"/>
      <c r="E31" s="127"/>
      <c r="F31" s="127"/>
      <c r="G31" s="127"/>
    </row>
    <row r="32" spans="1:7">
      <c r="B32" s="127"/>
      <c r="C32" s="127"/>
      <c r="D32" s="127"/>
      <c r="E32" s="127"/>
      <c r="F32" s="127"/>
      <c r="G32" s="127"/>
    </row>
  </sheetData>
  <mergeCells count="12">
    <mergeCell ref="A6:G6"/>
    <mergeCell ref="A27:D27"/>
    <mergeCell ref="F27:G27"/>
    <mergeCell ref="B29:G29"/>
    <mergeCell ref="B31:G32"/>
    <mergeCell ref="A19:G19"/>
    <mergeCell ref="A1:G1"/>
    <mergeCell ref="A2:G2"/>
    <mergeCell ref="B3:C3"/>
    <mergeCell ref="E3:G3"/>
    <mergeCell ref="B4:C4"/>
    <mergeCell ref="E4:G4"/>
  </mergeCells>
  <conditionalFormatting sqref="A7:G18 A20:G24">
    <cfRule type="expression" dxfId="44" priority="1">
      <formula>$F7=TRUE</formula>
    </cfRule>
    <cfRule type="expression" dxfId="43" priority="2">
      <formula>AND($E7=FALSE,$F7=FALSE)</formula>
    </cfRule>
    <cfRule type="expression" dxfId="42" priority="3">
      <formula>AND($E7=TRUE,$F7=FALSE)</formula>
    </cfRule>
    <cfRule type="expression" dxfId="41" priority="4">
      <formula>AND($E7=TRUE,$F7=TRUE)</formula>
    </cfRule>
  </conditionalFormatting>
  <conditionalFormatting sqref="B29">
    <cfRule type="dataBar" priority="47">
      <dataBar>
        <cfvo type="num" val="0"/>
        <cfvo type="num" val="1"/>
        <color rgb="FF1F9E89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3" right="0.3" top="0.5" bottom="0.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F9E89"/>
              <x14:negativeFillColor rgb="FFFF0000"/>
              <x14:negativeBorderColor rgb="FFFF0000"/>
              <x14:axisColor rgb="FF000000"/>
            </x14:dataBar>
          </x14:cfRule>
          <xm:sqref>B29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showGridLines="0" workbookViewId="0">
      <pane ySplit="11" topLeftCell="A12" activePane="bottomLeft" state="frozen"/>
      <selection pane="bottomLeft" activeCell="E23" sqref="E23"/>
    </sheetView>
  </sheetViews>
  <sheetFormatPr defaultColWidth="8.85546875" defaultRowHeight="14.45"/>
  <cols>
    <col min="1" max="1" width="6.42578125" customWidth="1"/>
    <col min="2" max="2" width="28.5703125" customWidth="1"/>
    <col min="3" max="3" width="20" customWidth="1"/>
    <col min="4" max="4" width="14.140625" customWidth="1"/>
    <col min="5" max="5" width="32.42578125" customWidth="1"/>
    <col min="6" max="6" width="22.85546875" customWidth="1"/>
    <col min="7" max="10" width="3.42578125" customWidth="1"/>
    <col min="11" max="11" width="28.5703125" customWidth="1"/>
    <col min="12" max="12" width="13.28515625" customWidth="1"/>
    <col min="13" max="17" width="13.7109375" customWidth="1"/>
  </cols>
  <sheetData>
    <row r="1" spans="1:17" ht="33.75" customHeight="1">
      <c r="A1" s="147" t="s">
        <v>65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ht="21.75" customHeight="1">
      <c r="A2" s="178" t="str">
        <f>UPPER(TEXT(Seguimiento!B3,"mmmm"))&amp;" "&amp;YEAR(Seguimiento!B3)&amp;" · INGENIERÍA ELÉCTRICA · "&amp;Seguimiento!E3</f>
        <v>SEPTIEMBRE 2026 · INGENIERÍA ELÉCTRICA · Emerson Garita López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1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26.25" customHeight="1">
      <c r="A4" s="158" t="s">
        <v>66</v>
      </c>
      <c r="B4" s="158"/>
      <c r="C4" s="158"/>
      <c r="D4" s="158"/>
      <c r="E4" s="159" t="s">
        <v>67</v>
      </c>
      <c r="F4" s="159"/>
      <c r="G4" s="159"/>
      <c r="H4" s="159"/>
      <c r="I4" s="160" t="s">
        <v>68</v>
      </c>
      <c r="J4" s="160"/>
      <c r="K4" s="160"/>
      <c r="L4" s="160"/>
      <c r="M4" s="161" t="s">
        <v>69</v>
      </c>
      <c r="N4" s="161"/>
      <c r="O4" s="161"/>
      <c r="P4" s="161"/>
    </row>
    <row r="5" spans="1:17" ht="26.25" customHeight="1">
      <c r="A5" s="162">
        <f>Seguimiento!E27</f>
        <v>0.52941176470588236</v>
      </c>
      <c r="B5" s="162"/>
      <c r="C5" s="162"/>
      <c r="D5" s="162"/>
      <c r="E5" s="163">
        <f>Seguimiento!B30</f>
        <v>9</v>
      </c>
      <c r="F5" s="163"/>
      <c r="G5" s="163"/>
      <c r="H5" s="163"/>
      <c r="I5" s="164">
        <f>Seguimiento!D30</f>
        <v>8</v>
      </c>
      <c r="J5" s="164"/>
      <c r="K5" s="164"/>
      <c r="L5" s="164"/>
      <c r="M5" s="165">
        <f>Seguimiento!F30</f>
        <v>0</v>
      </c>
      <c r="N5" s="165"/>
      <c r="O5" s="165"/>
      <c r="P5" s="165"/>
    </row>
    <row r="6" spans="1:17" ht="26.25" customHeight="1">
      <c r="A6" s="162"/>
      <c r="B6" s="162"/>
      <c r="C6" s="162"/>
      <c r="D6" s="162"/>
      <c r="E6" s="163"/>
      <c r="F6" s="163"/>
      <c r="G6" s="163"/>
      <c r="H6" s="163"/>
      <c r="I6" s="164"/>
      <c r="J6" s="164"/>
      <c r="K6" s="164"/>
      <c r="L6" s="164"/>
      <c r="M6" s="165"/>
      <c r="N6" s="165"/>
      <c r="O6" s="165"/>
      <c r="P6" s="165"/>
    </row>
    <row r="7" spans="1:17" ht="15">
      <c r="A7" s="179" t="s">
        <v>70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 ht="33.75" customHeight="1">
      <c r="A8" s="166" t="str">
        <f>"Avance mensual: "&amp;TEXT(Seguimiento!E27,"0%")&amp;" ("&amp;Seguimiento!B30&amp;" de 17 controles). "&amp;IF(Seguimiento!D30=0,"Todos los controles están cerrados.",Seguimiento!D30&amp;" controles requieren seguimiento; priorice los registros sin evidencia y los procesos administrativos pendientes.")</f>
        <v>Avance mensual: 53% (9 de 17 controles). 8 controles requieren seguimiento; priorice los registros sin evidencia y los procesos administrativos pendientes.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5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</row>
    <row r="10" spans="1:17" ht="21.75" customHeight="1">
      <c r="A10" s="179" t="s">
        <v>71</v>
      </c>
      <c r="B10" s="179"/>
      <c r="C10" s="179"/>
      <c r="D10" s="179"/>
      <c r="E10" s="179"/>
      <c r="F10" s="179"/>
      <c r="G10" s="179"/>
      <c r="H10" s="179"/>
      <c r="I10" s="179"/>
      <c r="J10" s="146"/>
      <c r="K10" s="179" t="s">
        <v>72</v>
      </c>
      <c r="L10" s="179"/>
      <c r="M10" s="179"/>
      <c r="N10" s="179"/>
      <c r="O10" s="179"/>
      <c r="P10" s="179"/>
      <c r="Q10" s="179"/>
    </row>
    <row r="11" spans="1:17" ht="27.75" customHeight="1">
      <c r="A11" s="148" t="s">
        <v>8</v>
      </c>
      <c r="B11" s="148" t="s">
        <v>73</v>
      </c>
      <c r="C11" s="148" t="s">
        <v>74</v>
      </c>
      <c r="D11" s="148" t="s">
        <v>75</v>
      </c>
      <c r="E11" s="148" t="s">
        <v>76</v>
      </c>
      <c r="F11" s="148" t="s">
        <v>77</v>
      </c>
      <c r="G11" s="146"/>
      <c r="H11" s="146"/>
      <c r="I11" s="146"/>
      <c r="J11" s="146"/>
      <c r="K11" s="148" t="s">
        <v>78</v>
      </c>
      <c r="L11" s="148" t="s">
        <v>79</v>
      </c>
      <c r="M11" s="148" t="s">
        <v>80</v>
      </c>
      <c r="N11" s="146"/>
      <c r="O11" s="146"/>
      <c r="P11" s="146"/>
      <c r="Q11" s="146"/>
    </row>
    <row r="12" spans="1:17" ht="25.5">
      <c r="A12" s="167">
        <v>1</v>
      </c>
      <c r="B12" s="155" t="str">
        <f>Seguimiento!B7</f>
        <v>Supervisión de personal</v>
      </c>
      <c r="C12" s="149" t="s">
        <v>81</v>
      </c>
      <c r="D12" s="169" t="str">
        <f>IF(Seguimiento!E7,"Cumplido",IF(Seguimiento!F7,"N/A","Pendiente"))</f>
        <v>Cumplido</v>
      </c>
      <c r="E12" s="155" t="str">
        <f>Seguimiento!D7</f>
        <v>100% de situaciones relevantes atendidas</v>
      </c>
      <c r="F12" s="155" t="str">
        <f>IF(OR(Seguimiento!G7=0,Seguimiento!G7=""),"Sin observación registrada",Seguimiento!G7)</f>
        <v>Sin observación registrada</v>
      </c>
      <c r="G12" s="146"/>
      <c r="H12" s="146"/>
      <c r="I12" s="146"/>
      <c r="J12" s="146"/>
      <c r="K12" s="149" t="s">
        <v>82</v>
      </c>
      <c r="L12" s="151">
        <f>SUM('02 Horas extra'!D14:D24)</f>
        <v>186.33333333000002</v>
      </c>
      <c r="M12" s="155" t="s">
        <v>83</v>
      </c>
      <c r="N12" s="146"/>
      <c r="O12" s="146"/>
      <c r="P12" s="146"/>
      <c r="Q12" s="146"/>
    </row>
    <row r="13" spans="1:17" ht="25.5">
      <c r="A13" s="167">
        <v>2</v>
      </c>
      <c r="B13" s="155" t="str">
        <f>Seguimiento!B8</f>
        <v>Horas extra (al día)</v>
      </c>
      <c r="C13" s="149" t="s">
        <v>81</v>
      </c>
      <c r="D13" s="169" t="str">
        <f>IF(Seguimiento!E8,"Cumplido",IF(Seguimiento!F8,"N/A","Pendiente"))</f>
        <v>Cumplido</v>
      </c>
      <c r="E13" s="155" t="str">
        <f>Seguimiento!D8</f>
        <v>Sin pérdida de registros</v>
      </c>
      <c r="F13" s="155" t="str">
        <f>IF(OR(Seguimiento!G8=0,Seguimiento!G8=""),"Sin observación registrada",Seguimiento!G8)</f>
        <v>Sin observación registrada</v>
      </c>
      <c r="G13" s="146"/>
      <c r="H13" s="146"/>
      <c r="I13" s="146"/>
      <c r="J13" s="146"/>
      <c r="K13" s="149" t="s">
        <v>84</v>
      </c>
      <c r="L13" s="151">
        <f>MAX('02 Horas extra'!D14:D24)</f>
        <v>35</v>
      </c>
      <c r="M13" s="155" t="s">
        <v>85</v>
      </c>
      <c r="N13" s="146"/>
      <c r="O13" s="146"/>
      <c r="P13" s="146"/>
      <c r="Q13" s="146"/>
    </row>
    <row r="14" spans="1:17" ht="15">
      <c r="A14" s="167">
        <v>3</v>
      </c>
      <c r="B14" s="155" t="str">
        <f>Seguimiento!B9</f>
        <v>Tardias</v>
      </c>
      <c r="C14" s="149" t="s">
        <v>81</v>
      </c>
      <c r="D14" s="169" t="str">
        <f>IF(Seguimiento!E9,"Cumplido",IF(Seguimiento!F9,"N/A","Pendiente"))</f>
        <v>Cumplido</v>
      </c>
      <c r="E14" s="155" t="str">
        <f>Seguimiento!D9</f>
        <v>Sin pérdida de registros</v>
      </c>
      <c r="F14" s="155" t="str">
        <f>IF(OR(Seguimiento!G9=0,Seguimiento!G9=""),"Sin observación registrada",Seguimiento!G9)</f>
        <v>Sin observación registrada</v>
      </c>
      <c r="G14" s="146"/>
      <c r="H14" s="146"/>
      <c r="I14" s="146"/>
      <c r="J14" s="146"/>
      <c r="K14" s="149" t="s">
        <v>86</v>
      </c>
      <c r="L14" s="152" cm="1">
        <f t="array" ref="L14">SUMPRODUCT(IFERROR(VALUE(SUBSTITUTE('03 Tardías'!C14:C26," min","")),0))</f>
        <v>44</v>
      </c>
      <c r="M14" s="155" t="s">
        <v>87</v>
      </c>
      <c r="N14" s="146"/>
      <c r="O14" s="146"/>
      <c r="P14" s="146"/>
      <c r="Q14" s="146"/>
    </row>
    <row r="15" spans="1:17" ht="25.5">
      <c r="A15" s="167">
        <v>4</v>
      </c>
      <c r="B15" s="155" t="str">
        <f>Seguimiento!B10</f>
        <v>Herramientas móviles</v>
      </c>
      <c r="C15" s="149" t="s">
        <v>81</v>
      </c>
      <c r="D15" s="169" t="str">
        <f>IF(Seguimiento!E10,"Cumplido",IF(Seguimiento!F10,"N/A","Pendiente"))</f>
        <v>Cumplido</v>
      </c>
      <c r="E15" s="155" t="str">
        <f>Seguimiento!D10</f>
        <v>Sin pérdida de registros</v>
      </c>
      <c r="F15" s="155" t="str">
        <f>IF(OR(Seguimiento!G10=0,Seguimiento!G10=""),"Sin observación registrada",Seguimiento!G10)</f>
        <v>Sin observación registrada</v>
      </c>
      <c r="G15" s="146"/>
      <c r="H15" s="146"/>
      <c r="I15" s="146"/>
      <c r="J15" s="146"/>
      <c r="K15" s="149" t="s">
        <v>26</v>
      </c>
      <c r="L15" s="152">
        <f>'05 Herramienta personal'!D15</f>
        <v>73</v>
      </c>
      <c r="M15" s="155" t="s">
        <v>88</v>
      </c>
      <c r="N15" s="146"/>
      <c r="O15" s="146"/>
      <c r="P15" s="146"/>
      <c r="Q15" s="146"/>
    </row>
    <row r="16" spans="1:17" ht="25.5">
      <c r="A16" s="167">
        <v>5</v>
      </c>
      <c r="B16" s="155" t="str">
        <f>Seguimiento!B11</f>
        <v>Herramienta personal</v>
      </c>
      <c r="C16" s="149" t="s">
        <v>81</v>
      </c>
      <c r="D16" s="169" t="str">
        <f>IF(Seguimiento!E11,"Cumplido",IF(Seguimiento!F11,"N/A","Pendiente"))</f>
        <v>Cumplido</v>
      </c>
      <c r="E16" s="155" t="str">
        <f>Seguimiento!D11</f>
        <v>Sin pérdida de registros</v>
      </c>
      <c r="F16" s="155" t="str">
        <f>IF(OR(Seguimiento!G11=0,Seguimiento!G11=""),"Sin observación registrada",Seguimiento!G11)</f>
        <v>Sin observación registrada</v>
      </c>
      <c r="G16" s="146"/>
      <c r="H16" s="146"/>
      <c r="I16" s="146"/>
      <c r="J16" s="146"/>
      <c r="K16" s="149" t="s">
        <v>89</v>
      </c>
      <c r="L16" s="152">
        <f>'05 Herramienta personal'!B15</f>
        <v>457</v>
      </c>
      <c r="M16" s="155" t="s">
        <v>90</v>
      </c>
      <c r="N16" s="146"/>
      <c r="O16" s="146"/>
      <c r="P16" s="146"/>
      <c r="Q16" s="146"/>
    </row>
    <row r="17" spans="1:17" ht="25.5">
      <c r="A17" s="167">
        <v>6</v>
      </c>
      <c r="B17" s="155" t="str">
        <f>Seguimiento!B12</f>
        <v>Equipo Ingeniería</v>
      </c>
      <c r="C17" s="149" t="s">
        <v>81</v>
      </c>
      <c r="D17" s="169" t="str">
        <f>IF(Seguimiento!E12,"Cumplido",IF(Seguimiento!F12,"N/A","Pendiente"))</f>
        <v>Pendiente</v>
      </c>
      <c r="E17" s="155" t="str">
        <f>Seguimiento!D12</f>
        <v>Sin pérdida de registros</v>
      </c>
      <c r="F17" s="155" t="str">
        <f>IF(OR(Seguimiento!G12=0,Seguimiento!G12=""),"Sin observación registrada",Seguimiento!G12)</f>
        <v>Sin observación registrada</v>
      </c>
      <c r="G17" s="146"/>
      <c r="H17" s="146"/>
      <c r="I17" s="146"/>
      <c r="J17" s="146"/>
      <c r="K17" s="149" t="s">
        <v>91</v>
      </c>
      <c r="L17" s="153">
        <f>'04 Herramientas móviles'!C15</f>
        <v>0.75</v>
      </c>
      <c r="M17" s="155" t="s">
        <v>92</v>
      </c>
      <c r="N17" s="146"/>
      <c r="O17" s="146"/>
      <c r="P17" s="146"/>
      <c r="Q17" s="146"/>
    </row>
    <row r="18" spans="1:17" ht="38.25">
      <c r="A18" s="167">
        <v>7</v>
      </c>
      <c r="B18" s="155" t="str">
        <f>Seguimiento!B13</f>
        <v>Solicitud de Abonados</v>
      </c>
      <c r="C18" s="149" t="s">
        <v>81</v>
      </c>
      <c r="D18" s="169" t="str">
        <f>IF(Seguimiento!E13,"Cumplido",IF(Seguimiento!F13,"N/A","Pendiente"))</f>
        <v>Pendiente</v>
      </c>
      <c r="E18" s="155" t="str">
        <f>Seguimiento!D13</f>
        <v>≥ 90% atendidas y 100% registrados</v>
      </c>
      <c r="F18" s="155" t="str">
        <f>IF(OR(Seguimiento!G13=0,Seguimiento!G13=""),"Sin observación registrada",Seguimiento!G13)</f>
        <v>Sin observación registrada</v>
      </c>
      <c r="G18" s="146"/>
      <c r="H18" s="146"/>
      <c r="I18" s="146"/>
      <c r="J18" s="146"/>
      <c r="K18" s="149" t="s">
        <v>93</v>
      </c>
      <c r="L18" s="152">
        <f>'04 Herramientas móviles'!E15</f>
        <v>46</v>
      </c>
      <c r="M18" s="155" t="s">
        <v>94</v>
      </c>
      <c r="N18" s="146"/>
      <c r="O18" s="146"/>
      <c r="P18" s="146"/>
      <c r="Q18" s="146"/>
    </row>
    <row r="19" spans="1:17" ht="38.25">
      <c r="A19" s="167">
        <v>8</v>
      </c>
      <c r="B19" s="155" t="str">
        <f>Seguimiento!B14</f>
        <v>Solicitud de colaboradores</v>
      </c>
      <c r="C19" s="149" t="s">
        <v>81</v>
      </c>
      <c r="D19" s="169" t="str">
        <f>IF(Seguimiento!E14,"Cumplido",IF(Seguimiento!F14,"N/A","Pendiente"))</f>
        <v>Cumplido</v>
      </c>
      <c r="E19" s="155" t="str">
        <f>Seguimiento!D14</f>
        <v>Sin pérdida de registros</v>
      </c>
      <c r="F19" s="155" t="str">
        <f>IF(OR(Seguimiento!G14=0,Seguimiento!G14=""),"Sin observación registrada",Seguimiento!G14)</f>
        <v>Sin observación registrada</v>
      </c>
      <c r="G19" s="146"/>
      <c r="H19" s="146"/>
      <c r="I19" s="146"/>
      <c r="J19" s="146"/>
      <c r="K19" s="149" t="s">
        <v>95</v>
      </c>
      <c r="L19" s="152">
        <f>SUM('12 Registro proyectos'!B22:B24)</f>
        <v>8</v>
      </c>
      <c r="M19" s="155" t="s">
        <v>96</v>
      </c>
      <c r="N19" s="146"/>
      <c r="O19" s="146"/>
      <c r="P19" s="146"/>
      <c r="Q19" s="146"/>
    </row>
    <row r="20" spans="1:17" ht="25.5">
      <c r="A20" s="167">
        <v>9</v>
      </c>
      <c r="B20" s="155" t="str">
        <f>Seguimiento!B15</f>
        <v>Planes y acuerdos de ingeniería</v>
      </c>
      <c r="C20" s="149" t="s">
        <v>81</v>
      </c>
      <c r="D20" s="169" t="str">
        <f>IF(Seguimiento!E15,"Cumplido",IF(Seguimiento!F15,"N/A","Pendiente"))</f>
        <v>Pendiente</v>
      </c>
      <c r="E20" s="155" t="str">
        <f>Seguimiento!D15</f>
        <v>≥ 90% en cumplimiento y 100% registrados</v>
      </c>
      <c r="F20" s="155" t="str">
        <f>IF(OR(Seguimiento!G15=0,Seguimiento!G15=""),"Sin observación registrada",Seguimiento!G15)</f>
        <v>Sin observación registrada</v>
      </c>
      <c r="G20" s="146"/>
      <c r="H20" s="146"/>
      <c r="I20" s="146"/>
      <c r="J20" s="146"/>
      <c r="K20" s="149" t="s">
        <v>97</v>
      </c>
      <c r="L20" s="152">
        <f>COUNTA('08 Solicitud colaboradores'!A14:A23)</f>
        <v>10</v>
      </c>
      <c r="M20" s="155" t="s">
        <v>98</v>
      </c>
      <c r="N20" s="146"/>
      <c r="O20" s="146"/>
      <c r="P20" s="146"/>
      <c r="Q20" s="146"/>
    </row>
    <row r="21" spans="1:17" ht="15">
      <c r="A21" s="167">
        <v>10</v>
      </c>
      <c r="B21" s="155" t="str">
        <f>Seguimiento!B16</f>
        <v>Quejas – registro</v>
      </c>
      <c r="C21" s="149" t="s">
        <v>81</v>
      </c>
      <c r="D21" s="169" t="str">
        <f>IF(Seguimiento!E16,"Cumplido",IF(Seguimiento!F16,"N/A","Pendiente"))</f>
        <v>Cumplido</v>
      </c>
      <c r="E21" s="155" t="str">
        <f>Seguimiento!D16</f>
        <v>Sin pérdida de registros</v>
      </c>
      <c r="F21" s="155" t="str">
        <f>IF(OR(Seguimiento!G16=0,Seguimiento!G16=""),"Sin observación registrada",Seguimiento!G16)</f>
        <v>Sin observación registrada</v>
      </c>
      <c r="G21" s="146"/>
      <c r="H21" s="146"/>
      <c r="I21" s="146"/>
      <c r="J21" s="146"/>
      <c r="K21" s="149" t="s">
        <v>99</v>
      </c>
      <c r="L21" s="152">
        <f>COUNTA('10 Quejas'!A14:A100)</f>
        <v>1</v>
      </c>
      <c r="M21" s="155" t="s">
        <v>100</v>
      </c>
      <c r="N21" s="146"/>
      <c r="O21" s="146"/>
      <c r="P21" s="146"/>
      <c r="Q21" s="146"/>
    </row>
    <row r="22" spans="1:17" ht="25.5">
      <c r="A22" s="167">
        <v>11</v>
      </c>
      <c r="B22" s="155" t="str">
        <f>Seguimiento!B17</f>
        <v>Ilícitos – registro</v>
      </c>
      <c r="C22" s="149" t="s">
        <v>81</v>
      </c>
      <c r="D22" s="169" t="str">
        <f>IF(Seguimiento!E17,"Cumplido",IF(Seguimiento!F17,"N/A","Pendiente"))</f>
        <v>Cumplido</v>
      </c>
      <c r="E22" s="155" t="str">
        <f>Seguimiento!D17</f>
        <v>Sin pérdida de registros y 100% tramitados</v>
      </c>
      <c r="F22" s="155" t="str">
        <f>IF(OR(Seguimiento!G17=0,Seguimiento!G17=""),"Sin observación registrada",Seguimiento!G17)</f>
        <v>Sin observación registrada</v>
      </c>
      <c r="G22" s="146"/>
      <c r="H22" s="146"/>
      <c r="I22" s="146"/>
      <c r="J22" s="146"/>
      <c r="K22" s="150" t="s">
        <v>101</v>
      </c>
      <c r="L22" s="154">
        <f>COUNTA('11 Ilícitos'!A14:A100)</f>
        <v>1</v>
      </c>
      <c r="M22" s="156" t="s">
        <v>102</v>
      </c>
      <c r="N22" s="146"/>
      <c r="O22" s="146"/>
      <c r="P22" s="146"/>
      <c r="Q22" s="146"/>
    </row>
    <row r="23" spans="1:17" ht="24" customHeight="1">
      <c r="A23" s="167">
        <v>12</v>
      </c>
      <c r="B23" s="155" t="str">
        <f>Seguimiento!B18</f>
        <v>Registro de Proyectos</v>
      </c>
      <c r="C23" s="149" t="s">
        <v>81</v>
      </c>
      <c r="D23" s="169" t="str">
        <f>IF(Seguimiento!E18,"Cumplido",IF(Seguimiento!F18,"N/A","Pendiente"))</f>
        <v>Cumplido</v>
      </c>
      <c r="E23" s="155" t="str">
        <f>Seguimiento!D18</f>
        <v>Sin pérdida de registros</v>
      </c>
      <c r="F23" s="155" t="str">
        <f>IF(OR(Seguimiento!G18=0,Seguimiento!G18=""),"Sin observación registrada",Seguimiento!G18)</f>
        <v>Sin observación registrada</v>
      </c>
      <c r="G23" s="146"/>
      <c r="H23" s="146"/>
      <c r="I23" s="146"/>
      <c r="J23" s="146"/>
      <c r="K23" s="173" t="str">
        <f>"AVANCE POR ÁREA  ·  Asistente de Ingeniería: "&amp;TEXT(COUNTIF(Seguimiento!E7:E18,TRUE)/12,"0%")&amp;"  |  Auxiliar Administrativo: "&amp;TEXT(COUNTIF(Seguimiento!E20:E24,TRUE)/5,"0%")</f>
        <v>AVANCE POR ÁREA  ·  Asistente de Ingeniería: 75%  |  Auxiliar Administrativo: 0%</v>
      </c>
      <c r="L23" s="173"/>
      <c r="M23" s="173"/>
      <c r="N23" s="173"/>
      <c r="O23" s="173"/>
      <c r="P23" s="173"/>
      <c r="Q23" s="173"/>
    </row>
    <row r="24" spans="1:17" ht="50.25">
      <c r="A24" s="167">
        <v>13</v>
      </c>
      <c r="B24" s="155" t="str">
        <f>Seguimiento!B20</f>
        <v>Control de stock mínimo / máximo</v>
      </c>
      <c r="C24" s="149" t="s">
        <v>103</v>
      </c>
      <c r="D24" s="169" t="str">
        <f>IF(Seguimiento!E20,"Cumplido",IF(Seguimiento!F20,"N/A","Pendiente"))</f>
        <v>Pendiente</v>
      </c>
      <c r="E24" s="155" t="str">
        <f>Seguimiento!D20</f>
        <v>100% de los materiales críticos controlados dentro de los mínimos y máximos definidos; faltantes identificados y reportados</v>
      </c>
      <c r="F24" s="155" t="str">
        <f>IF(OR(Seguimiento!G20=0,Seguimiento!G20=""),"Sin observación registrada",Seguimiento!G20)</f>
        <v>Sin observación registrada</v>
      </c>
      <c r="G24" s="146"/>
      <c r="H24" s="146"/>
      <c r="I24" s="146"/>
      <c r="J24" s="146"/>
      <c r="K24" s="179" t="s">
        <v>104</v>
      </c>
      <c r="L24" s="179"/>
      <c r="M24" s="179"/>
      <c r="N24" s="179"/>
      <c r="O24" s="179"/>
      <c r="P24" s="179"/>
      <c r="Q24" s="179"/>
    </row>
    <row r="25" spans="1:17" ht="30.75" customHeight="1">
      <c r="A25" s="167">
        <v>14</v>
      </c>
      <c r="B25" s="155" t="str">
        <f>Seguimiento!B21</f>
        <v>Procesos (Personal, Inventarios y ARESEP) y normativa</v>
      </c>
      <c r="C25" s="149" t="s">
        <v>103</v>
      </c>
      <c r="D25" s="169" t="str">
        <f>IF(Seguimiento!E21,"Cumplido",IF(Seguimiento!F21,"N/A","Pendiente"))</f>
        <v>Pendiente</v>
      </c>
      <c r="E25" s="155" t="str">
        <f>Seguimiento!D21</f>
        <v>100% de compromisos en plazo</v>
      </c>
      <c r="F25" s="155" t="str">
        <f>IF(OR(Seguimiento!G21=0,Seguimiento!G21=""),"Sin observación registrada",Seguimiento!G21)</f>
        <v>Sin observación registrada</v>
      </c>
      <c r="G25" s="146"/>
      <c r="H25" s="146"/>
      <c r="I25" s="146"/>
      <c r="J25" s="146"/>
      <c r="K25" s="171" t="s">
        <v>105</v>
      </c>
      <c r="L25" s="172" t="s">
        <v>106</v>
      </c>
      <c r="M25" s="172"/>
      <c r="N25" s="172"/>
      <c r="O25" s="172"/>
      <c r="P25" s="172"/>
      <c r="Q25" s="172"/>
    </row>
    <row r="26" spans="1:17" ht="30.75" customHeight="1">
      <c r="A26" s="167">
        <v>15</v>
      </c>
      <c r="B26" s="155" t="str">
        <f>Seguimiento!B22</f>
        <v>Control de compras y materiales</v>
      </c>
      <c r="C26" s="149" t="s">
        <v>103</v>
      </c>
      <c r="D26" s="169" t="str">
        <f>IF(Seguimiento!E22,"Cumplido",IF(Seguimiento!F22,"N/A","Pendiente"))</f>
        <v>Pendiente</v>
      </c>
      <c r="E26" s="155" t="str">
        <f>Seguimiento!D22</f>
        <v>100% de las solicitudes de compra asignadas con seguimiento hasta su recepción o cierre.</v>
      </c>
      <c r="F26" s="155" t="str">
        <f>IF(OR(Seguimiento!G22=0,Seguimiento!G22=""),"Sin observación registrada",Seguimiento!G22)</f>
        <v>Sin observación registrada</v>
      </c>
      <c r="G26" s="146"/>
      <c r="H26" s="146"/>
      <c r="I26" s="146"/>
      <c r="J26" s="146"/>
      <c r="K26" s="171" t="s">
        <v>107</v>
      </c>
      <c r="L26" s="172" t="s">
        <v>108</v>
      </c>
      <c r="M26" s="172"/>
      <c r="N26" s="172"/>
      <c r="O26" s="172"/>
      <c r="P26" s="172"/>
      <c r="Q26" s="172"/>
    </row>
    <row r="27" spans="1:17" ht="30.75" customHeight="1">
      <c r="A27" s="167">
        <v>16</v>
      </c>
      <c r="B27" s="155" t="str">
        <f>Seguimiento!B23</f>
        <v>Elaboración de presupuestos de proyectos eléctricos</v>
      </c>
      <c r="C27" s="149" t="s">
        <v>103</v>
      </c>
      <c r="D27" s="169" t="str">
        <f>IF(Seguimiento!E23,"Cumplido",IF(Seguimiento!F23,"N/A","Pendiente"))</f>
        <v>Pendiente</v>
      </c>
      <c r="E27" s="155" t="str">
        <f>Seguimiento!D23</f>
        <v>100% de los proyectos asignados con presupuesto elaborado.</v>
      </c>
      <c r="F27" s="155" t="str">
        <f>IF(OR(Seguimiento!G23=0,Seguimiento!G23=""),"Sin observación registrada",Seguimiento!G23)</f>
        <v>Sin observación registrada</v>
      </c>
      <c r="G27" s="146"/>
      <c r="H27" s="146"/>
      <c r="I27" s="146"/>
      <c r="J27" s="146"/>
      <c r="K27" s="171" t="s">
        <v>109</v>
      </c>
      <c r="L27" s="172" t="str">
        <f>"Completar "&amp;'04 Herramientas móviles'!D21&amp;" registros; cobertura actual "&amp;TEXT('04 Herramientas móviles'!E21,"0.0%")&amp;"."</f>
        <v>Completar 41 registros; cobertura actual 11%.</v>
      </c>
      <c r="M27" s="172"/>
      <c r="N27" s="172"/>
      <c r="O27" s="172"/>
      <c r="P27" s="172"/>
      <c r="Q27" s="172"/>
    </row>
    <row r="28" spans="1:17" ht="30.75" customHeight="1">
      <c r="A28" s="168">
        <v>17</v>
      </c>
      <c r="B28" s="156" t="str">
        <f>Seguimiento!B24</f>
        <v>Diseño de redes eléctricas</v>
      </c>
      <c r="C28" s="150" t="s">
        <v>103</v>
      </c>
      <c r="D28" s="170" t="str">
        <f>IF(Seguimiento!E24,"Cumplido",IF(Seguimiento!F24,"N/A","Pendiente"))</f>
        <v>Pendiente</v>
      </c>
      <c r="E28" s="156" t="str">
        <f>Seguimiento!D24</f>
        <v>100% de los diseños asignados elaborados dentro del plazo establecido</v>
      </c>
      <c r="F28" s="156" t="str">
        <f>IF(OR(Seguimiento!G24=0,Seguimiento!G24=""),"Sin observación registrada",Seguimiento!G24)</f>
        <v>Sin observación registrada</v>
      </c>
      <c r="G28" s="146"/>
      <c r="H28" s="146"/>
      <c r="I28" s="146"/>
      <c r="J28" s="146"/>
      <c r="K28" s="171" t="s">
        <v>110</v>
      </c>
      <c r="L28" s="172" t="s">
        <v>111</v>
      </c>
      <c r="M28" s="172"/>
      <c r="N28" s="172"/>
      <c r="O28" s="172"/>
      <c r="P28" s="172"/>
      <c r="Q28" s="172"/>
    </row>
    <row r="29" spans="1:17" ht="30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71" t="s">
        <v>112</v>
      </c>
      <c r="L29" s="172" t="s">
        <v>113</v>
      </c>
      <c r="M29" s="172"/>
      <c r="N29" s="172"/>
      <c r="O29" s="172"/>
      <c r="P29" s="172"/>
      <c r="Q29" s="172"/>
    </row>
    <row r="30" spans="1:17" ht="15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</row>
    <row r="31" spans="1:17" ht="15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</row>
    <row r="32" spans="1:17" ht="15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</row>
    <row r="33" spans="1:17" ht="1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</row>
    <row r="34" spans="1:17" ht="1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</row>
    <row r="35" spans="1:17" ht="1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</row>
    <row r="36" spans="1:17" ht="15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</row>
    <row r="37" spans="1:17" ht="15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</row>
    <row r="38" spans="1:17" ht="15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</row>
    <row r="39" spans="1:17" ht="15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</row>
    <row r="40" spans="1:17" ht="15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</row>
    <row r="41" spans="1:17" ht="15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</row>
    <row r="42" spans="1:17" ht="15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</row>
    <row r="43" spans="1:17" ht="15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</row>
    <row r="44" spans="1:17" ht="15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</row>
    <row r="45" spans="1:17" ht="1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</row>
    <row r="46" spans="1:17" ht="15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</row>
    <row r="47" spans="1:17" ht="15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</row>
    <row r="48" spans="1:17" ht="15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</row>
    <row r="49" spans="1:17" ht="1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</row>
    <row r="50" spans="1:17" ht="15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</row>
    <row r="51" spans="1:17" ht="15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</row>
    <row r="52" spans="1:17" ht="15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</row>
    <row r="53" spans="1:17" ht="1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</row>
    <row r="54" spans="1:17" ht="15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</row>
    <row r="55" spans="1:17" ht="1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</row>
    <row r="56" spans="1:17" ht="15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ht="15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</row>
    <row r="58" spans="1:17" ht="15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</row>
    <row r="59" spans="1:17" ht="15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</row>
    <row r="60" spans="1:17" ht="15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</row>
  </sheetData>
  <mergeCells count="21">
    <mergeCell ref="L29:Q29"/>
    <mergeCell ref="K23:Q23"/>
    <mergeCell ref="K24:Q24"/>
    <mergeCell ref="L25:Q25"/>
    <mergeCell ref="L26:Q26"/>
    <mergeCell ref="L27:Q27"/>
    <mergeCell ref="L28:Q28"/>
    <mergeCell ref="I5:L6"/>
    <mergeCell ref="M5:P6"/>
    <mergeCell ref="A7:Q7"/>
    <mergeCell ref="A8:Q8"/>
    <mergeCell ref="A10:I10"/>
    <mergeCell ref="K10:Q10"/>
    <mergeCell ref="A1:Q1"/>
    <mergeCell ref="A2:Q2"/>
    <mergeCell ref="A4:D4"/>
    <mergeCell ref="E4:H4"/>
    <mergeCell ref="I4:L4"/>
    <mergeCell ref="M4:P4"/>
    <mergeCell ref="A5:D6"/>
    <mergeCell ref="E5:H6"/>
  </mergeCells>
  <conditionalFormatting sqref="D12:D28">
    <cfRule type="expression" dxfId="40" priority="1">
      <formula>$D12="Cumplido"</formula>
    </cfRule>
  </conditionalFormatting>
  <conditionalFormatting sqref="D12:D28">
    <cfRule type="expression" dxfId="39" priority="2">
      <formula>$D12="Pendiente"</formula>
    </cfRule>
  </conditionalFormatting>
  <conditionalFormatting sqref="D12:D28">
    <cfRule type="expression" dxfId="38" priority="3">
      <formula>$D12="N/A"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AFA5-6DB6-441A-AB1D-E69B137B28B7}">
  <sheetPr>
    <tabColor rgb="FF1F4E78"/>
  </sheetPr>
  <dimension ref="A1:H24"/>
  <sheetViews>
    <sheetView showGridLines="0" topLeftCell="A13" workbookViewId="0">
      <selection activeCell="J18" sqref="J18"/>
    </sheetView>
  </sheetViews>
  <sheetFormatPr defaultRowHeight="15"/>
  <cols>
    <col min="1" max="1" width="14.85546875" customWidth="1"/>
    <col min="2" max="2" width="32.42578125" customWidth="1"/>
    <col min="3" max="3" width="21" customWidth="1"/>
    <col min="4" max="4" width="16.140625" customWidth="1"/>
    <col min="5" max="7" width="27.5703125" customWidth="1"/>
    <col min="8" max="8" width="19" customWidth="1"/>
  </cols>
  <sheetData>
    <row r="1" spans="1:8" ht="30" customHeight="1">
      <c r="A1" s="118" t="s">
        <v>114</v>
      </c>
      <c r="B1" s="118"/>
      <c r="C1" s="118"/>
      <c r="D1" s="118"/>
      <c r="E1" s="118"/>
      <c r="F1" s="118"/>
      <c r="G1" s="118"/>
      <c r="H1" s="118"/>
    </row>
    <row r="2" spans="1:8">
      <c r="A2" s="119" t="s">
        <v>115</v>
      </c>
      <c r="B2" s="119"/>
      <c r="C2" s="119"/>
      <c r="D2" s="119"/>
      <c r="E2" s="119"/>
      <c r="F2" s="119"/>
      <c r="G2" s="119"/>
      <c r="H2" s="119"/>
    </row>
    <row r="3" spans="1:8">
      <c r="A3" s="15"/>
      <c r="B3" s="15"/>
      <c r="C3" s="15"/>
      <c r="D3" s="15"/>
      <c r="E3" s="15"/>
      <c r="F3" s="15"/>
      <c r="G3" s="15"/>
      <c r="H3" s="15"/>
    </row>
    <row r="4" spans="1:8">
      <c r="A4" s="26" t="s">
        <v>116</v>
      </c>
      <c r="B4" s="120">
        <f>Seguimiento!B3</f>
        <v>46266</v>
      </c>
      <c r="C4" s="114"/>
      <c r="D4" s="18">
        <f>Seguimiento!B4</f>
        <v>46295</v>
      </c>
      <c r="E4" s="16" t="s">
        <v>117</v>
      </c>
      <c r="F4" s="113" t="str">
        <f>Seguimiento!E3</f>
        <v>Emerson Garita López</v>
      </c>
      <c r="G4" s="114"/>
      <c r="H4" s="19">
        <v>1</v>
      </c>
    </row>
    <row r="5" spans="1:8">
      <c r="A5" s="16" t="s">
        <v>118</v>
      </c>
      <c r="B5" s="113" t="str">
        <f>Seguimiento!B7</f>
        <v>Supervisión de personal</v>
      </c>
      <c r="C5" s="114"/>
      <c r="D5" s="113"/>
      <c r="E5" s="114"/>
      <c r="F5" s="113"/>
      <c r="G5" s="114"/>
      <c r="H5" s="113"/>
    </row>
    <row r="6" spans="1:8" ht="25.5">
      <c r="A6" s="16" t="s">
        <v>119</v>
      </c>
      <c r="B6" s="113" t="str">
        <f>Seguimiento!C7</f>
        <v>Seguimiento de seguridad, personal y labores diarias</v>
      </c>
      <c r="C6" s="114"/>
      <c r="D6" s="113"/>
      <c r="E6" s="114"/>
      <c r="F6" s="113"/>
      <c r="G6" s="114"/>
      <c r="H6" s="113"/>
    </row>
    <row r="7" spans="1:8">
      <c r="A7" s="16" t="s">
        <v>11</v>
      </c>
      <c r="B7" s="113" t="str">
        <f>Seguimiento!D7</f>
        <v>100% de situaciones relevantes atendidas</v>
      </c>
      <c r="C7" s="114"/>
      <c r="D7" s="113"/>
      <c r="E7" s="114"/>
      <c r="F7" s="113"/>
      <c r="G7" s="114"/>
      <c r="H7" s="113"/>
    </row>
    <row r="8" spans="1:8">
      <c r="A8" s="16" t="s">
        <v>120</v>
      </c>
      <c r="B8" s="113" t="str">
        <f>IF(Seguimiento!E7,"Cumplido",IF(Seguimiento!F7,"N/A","Pendiente"))</f>
        <v>Cumplido</v>
      </c>
      <c r="C8" s="114"/>
      <c r="D8" s="19" t="str">
        <f>IF(Seguimiento!E7,"Sí","No")</f>
        <v>Sí</v>
      </c>
      <c r="E8" s="16" t="s">
        <v>13</v>
      </c>
      <c r="F8" s="19" t="str">
        <f>IF(Seguimiento!F7,"Sí","No")</f>
        <v>No</v>
      </c>
      <c r="G8" s="16"/>
      <c r="H8" s="19"/>
    </row>
    <row r="9" spans="1:8">
      <c r="A9" s="16" t="s">
        <v>121</v>
      </c>
      <c r="B9" s="113" t="str">
        <f>IF(Seguimiento!E7,"Control mensual completado",IF(Seguimiento!F7,"Indicador no aplicable en el periodo","Requiere seguimiento"))</f>
        <v>Control mensual completado</v>
      </c>
      <c r="C9" s="114"/>
      <c r="D9" s="113"/>
      <c r="E9" s="114"/>
      <c r="F9" s="113"/>
      <c r="G9" s="114"/>
      <c r="H9" s="113"/>
    </row>
    <row r="10" spans="1:8" ht="25.5">
      <c r="A10" s="20" t="s">
        <v>122</v>
      </c>
      <c r="B10" s="115">
        <f>Seguimiento!G7</f>
        <v>0</v>
      </c>
      <c r="C10" s="116"/>
      <c r="D10" s="115"/>
      <c r="E10" s="116"/>
      <c r="F10" s="115"/>
      <c r="G10" s="116"/>
      <c r="H10" s="115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>
      <c r="A12" s="117" t="s">
        <v>123</v>
      </c>
      <c r="B12" s="117"/>
      <c r="C12" s="117"/>
      <c r="D12" s="117"/>
      <c r="E12" s="117"/>
      <c r="F12" s="117"/>
      <c r="G12" s="117"/>
      <c r="H12" s="117"/>
    </row>
    <row r="13" spans="1:8">
      <c r="A13" s="21" t="s">
        <v>5</v>
      </c>
      <c r="B13" s="22" t="s">
        <v>124</v>
      </c>
      <c r="C13" s="22" t="s">
        <v>117</v>
      </c>
      <c r="D13" s="22" t="s">
        <v>75</v>
      </c>
      <c r="E13" s="22" t="s">
        <v>125</v>
      </c>
      <c r="F13" s="22" t="s">
        <v>126</v>
      </c>
      <c r="G13" s="22" t="s">
        <v>127</v>
      </c>
      <c r="H13" s="23" t="s">
        <v>128</v>
      </c>
    </row>
    <row r="14" spans="1:8" ht="38.25">
      <c r="A14" s="27">
        <v>46286</v>
      </c>
      <c r="B14" s="24" t="s">
        <v>129</v>
      </c>
      <c r="C14" s="24" t="s">
        <v>130</v>
      </c>
      <c r="D14" s="24" t="s">
        <v>131</v>
      </c>
      <c r="E14" s="24"/>
      <c r="F14" s="24"/>
      <c r="G14" s="24"/>
      <c r="H14" s="29"/>
    </row>
    <row r="15" spans="1:8" ht="38.25">
      <c r="A15" s="27">
        <v>46287</v>
      </c>
      <c r="B15" s="24" t="s">
        <v>132</v>
      </c>
      <c r="C15" s="24" t="s">
        <v>130</v>
      </c>
      <c r="D15" s="24" t="s">
        <v>131</v>
      </c>
      <c r="E15" s="24"/>
      <c r="F15" s="24"/>
      <c r="G15" s="24"/>
      <c r="H15" s="29"/>
    </row>
    <row r="16" spans="1:8" ht="25.5">
      <c r="A16" s="27">
        <v>46288</v>
      </c>
      <c r="B16" s="24" t="s">
        <v>133</v>
      </c>
      <c r="C16" s="24" t="s">
        <v>130</v>
      </c>
      <c r="D16" s="24" t="s">
        <v>12</v>
      </c>
      <c r="E16" s="24"/>
      <c r="F16" s="24"/>
      <c r="G16" s="24"/>
      <c r="H16" s="29"/>
    </row>
    <row r="17" spans="1:8" ht="25.5">
      <c r="A17" s="27">
        <v>46289</v>
      </c>
      <c r="B17" s="24" t="s">
        <v>134</v>
      </c>
      <c r="C17" s="24" t="s">
        <v>130</v>
      </c>
      <c r="D17" s="24" t="s">
        <v>12</v>
      </c>
      <c r="E17" s="24"/>
      <c r="F17" s="24"/>
      <c r="G17" s="24"/>
      <c r="H17" s="29"/>
    </row>
    <row r="18" spans="1:8" ht="63" customHeight="1">
      <c r="A18" s="27">
        <v>46290</v>
      </c>
      <c r="B18" s="24" t="s">
        <v>135</v>
      </c>
      <c r="C18" s="24" t="s">
        <v>130</v>
      </c>
      <c r="D18" s="24" t="s">
        <v>12</v>
      </c>
      <c r="E18" s="24"/>
      <c r="F18" s="24"/>
      <c r="G18" s="24"/>
      <c r="H18" s="29"/>
    </row>
    <row r="19" spans="1:8" ht="25.5">
      <c r="A19" s="27">
        <v>46293</v>
      </c>
      <c r="B19" s="24" t="s">
        <v>136</v>
      </c>
      <c r="C19" s="24" t="s">
        <v>130</v>
      </c>
      <c r="D19" s="24" t="s">
        <v>12</v>
      </c>
      <c r="E19" s="24"/>
      <c r="F19" s="24"/>
      <c r="G19" s="24"/>
      <c r="H19" s="29"/>
    </row>
    <row r="20" spans="1:8" ht="25.5">
      <c r="A20" s="27">
        <v>46294</v>
      </c>
      <c r="B20" s="24" t="s">
        <v>137</v>
      </c>
      <c r="C20" s="24"/>
      <c r="D20" s="24"/>
      <c r="E20" s="24"/>
      <c r="F20" s="24"/>
      <c r="G20" s="24"/>
      <c r="H20" s="29"/>
    </row>
    <row r="21" spans="1:8">
      <c r="A21" s="27"/>
      <c r="B21" s="24"/>
      <c r="C21" s="24"/>
      <c r="D21" s="24"/>
      <c r="E21" s="24"/>
      <c r="F21" s="24"/>
      <c r="G21" s="24"/>
      <c r="H21" s="29"/>
    </row>
    <row r="22" spans="1:8">
      <c r="A22" s="27"/>
      <c r="B22" s="24"/>
      <c r="C22" s="24"/>
      <c r="D22" s="24"/>
      <c r="E22" s="24"/>
      <c r="F22" s="24"/>
      <c r="G22" s="24"/>
      <c r="H22" s="29"/>
    </row>
    <row r="23" spans="1:8">
      <c r="A23" s="27"/>
      <c r="B23" s="24"/>
      <c r="C23" s="24"/>
      <c r="D23" s="24"/>
      <c r="E23" s="24"/>
      <c r="F23" s="24"/>
      <c r="G23" s="24"/>
      <c r="H23" s="29"/>
    </row>
    <row r="24" spans="1:8">
      <c r="A24" s="28"/>
      <c r="B24" s="25"/>
      <c r="C24" s="25"/>
      <c r="D24" s="25"/>
      <c r="E24" s="25"/>
      <c r="F24" s="25"/>
      <c r="G24" s="25"/>
      <c r="H24" s="30"/>
    </row>
  </sheetData>
  <mergeCells count="11">
    <mergeCell ref="B6:H6"/>
    <mergeCell ref="A1:H1"/>
    <mergeCell ref="A2:H2"/>
    <mergeCell ref="B4:C4"/>
    <mergeCell ref="F4:G4"/>
    <mergeCell ref="B5:H5"/>
    <mergeCell ref="B7:H7"/>
    <mergeCell ref="B8:C8"/>
    <mergeCell ref="B9:H9"/>
    <mergeCell ref="B10:H10"/>
    <mergeCell ref="A12:H12"/>
  </mergeCells>
  <dataValidations count="1">
    <dataValidation type="list" allowBlank="1" showInputMessage="1" showErrorMessage="1" sqref="D14:D24" xr:uid="{438586A5-E931-44DE-8EDD-6438BD60F95A}">
      <formula1>"Pendiente,En proceso,Cumplido,N/A"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FE76-5B71-4DCD-A6C7-87B69A79332A}">
  <sheetPr>
    <tabColor rgb="FF1F4E78"/>
  </sheetPr>
  <dimension ref="A1:E24"/>
  <sheetViews>
    <sheetView showGridLines="0" workbookViewId="0">
      <selection activeCell="B4" sqref="B4:C4"/>
    </sheetView>
  </sheetViews>
  <sheetFormatPr defaultRowHeight="15"/>
  <cols>
    <col min="1" max="1" width="32.28515625" customWidth="1"/>
    <col min="2" max="2" width="32.42578125" customWidth="1"/>
    <col min="3" max="3" width="21" customWidth="1"/>
    <col min="4" max="4" width="16.140625" customWidth="1"/>
    <col min="5" max="5" width="19" customWidth="1"/>
  </cols>
  <sheetData>
    <row r="1" spans="1:5" ht="30" customHeight="1">
      <c r="A1" s="118" t="s">
        <v>138</v>
      </c>
      <c r="B1" s="118"/>
      <c r="C1" s="118"/>
      <c r="D1" s="118"/>
      <c r="E1" s="118"/>
    </row>
    <row r="2" spans="1:5">
      <c r="A2" s="119" t="s">
        <v>115</v>
      </c>
      <c r="B2" s="119"/>
      <c r="C2" s="119"/>
      <c r="D2" s="119"/>
      <c r="E2" s="119"/>
    </row>
    <row r="3" spans="1:5">
      <c r="A3" s="15"/>
      <c r="B3" s="15"/>
      <c r="C3" s="15"/>
      <c r="D3" s="15"/>
      <c r="E3" s="15"/>
    </row>
    <row r="4" spans="1:5">
      <c r="A4" s="26" t="s">
        <v>116</v>
      </c>
      <c r="B4" s="120">
        <v>46266</v>
      </c>
      <c r="C4" s="114"/>
      <c r="D4" s="18">
        <f>Seguimiento!B4</f>
        <v>46295</v>
      </c>
      <c r="E4" s="19">
        <v>2</v>
      </c>
    </row>
    <row r="5" spans="1:5">
      <c r="A5" s="16" t="s">
        <v>118</v>
      </c>
      <c r="B5" s="113" t="str">
        <f>Seguimiento!B8</f>
        <v>Horas extra (al día)</v>
      </c>
      <c r="C5" s="114"/>
      <c r="D5" s="113"/>
      <c r="E5" s="113"/>
    </row>
    <row r="6" spans="1:5">
      <c r="A6" s="16" t="s">
        <v>119</v>
      </c>
      <c r="B6" s="113" t="str">
        <f>Seguimiento!C8</f>
        <v>Registro completo y actualizado de horas extra</v>
      </c>
      <c r="C6" s="114"/>
      <c r="D6" s="113"/>
      <c r="E6" s="113"/>
    </row>
    <row r="7" spans="1:5">
      <c r="A7" s="16" t="s">
        <v>11</v>
      </c>
      <c r="B7" s="113" t="str">
        <f>Seguimiento!D8</f>
        <v>Sin pérdida de registros</v>
      </c>
      <c r="C7" s="114"/>
      <c r="D7" s="113"/>
      <c r="E7" s="113"/>
    </row>
    <row r="8" spans="1:5">
      <c r="A8" s="16" t="s">
        <v>120</v>
      </c>
      <c r="B8" s="113" t="str">
        <f>IF(Seguimiento!E8,"Cumplido",IF(Seguimiento!F8,"N/A","Pendiente"))</f>
        <v>Cumplido</v>
      </c>
      <c r="C8" s="114"/>
      <c r="D8" s="19" t="str">
        <f>IF(Seguimiento!E8,"Sí","No")</f>
        <v>Sí</v>
      </c>
      <c r="E8" s="19"/>
    </row>
    <row r="9" spans="1:5">
      <c r="A9" s="16" t="s">
        <v>121</v>
      </c>
      <c r="B9" s="113" t="str">
        <f>IF(Seguimiento!E8,"Control mensual completado",IF(Seguimiento!F8,"Indicador no aplicable en el periodo","Requiere seguimiento"))</f>
        <v>Control mensual completado</v>
      </c>
      <c r="C9" s="114"/>
      <c r="D9" s="113"/>
      <c r="E9" s="113"/>
    </row>
    <row r="10" spans="1:5">
      <c r="A10" s="20" t="s">
        <v>122</v>
      </c>
      <c r="B10" s="115">
        <f>Seguimiento!G8</f>
        <v>0</v>
      </c>
      <c r="C10" s="116"/>
      <c r="D10" s="115"/>
      <c r="E10" s="115"/>
    </row>
    <row r="11" spans="1:5">
      <c r="A11" s="54"/>
      <c r="B11" s="54" t="s">
        <v>62</v>
      </c>
      <c r="C11" s="54"/>
      <c r="D11" s="54"/>
    </row>
    <row r="12" spans="1:5">
      <c r="A12" s="54"/>
      <c r="B12" s="54" t="s">
        <v>139</v>
      </c>
      <c r="C12" s="54" t="s">
        <v>140</v>
      </c>
      <c r="D12" s="54"/>
    </row>
    <row r="13" spans="1:5">
      <c r="A13" s="54" t="s">
        <v>141</v>
      </c>
      <c r="B13" s="54" t="s">
        <v>142</v>
      </c>
      <c r="C13" s="54" t="s">
        <v>142</v>
      </c>
      <c r="D13" s="55" t="s">
        <v>142</v>
      </c>
    </row>
    <row r="14" spans="1:5">
      <c r="A14" s="54" t="s">
        <v>143</v>
      </c>
      <c r="B14" s="56">
        <v>21</v>
      </c>
      <c r="C14" s="56"/>
      <c r="D14" s="57">
        <v>21</v>
      </c>
    </row>
    <row r="15" spans="1:5">
      <c r="A15" s="54" t="s">
        <v>144</v>
      </c>
      <c r="B15" s="56">
        <v>19</v>
      </c>
      <c r="C15" s="56">
        <v>1.5</v>
      </c>
      <c r="D15" s="57">
        <v>20.5</v>
      </c>
    </row>
    <row r="16" spans="1:5">
      <c r="A16" s="54" t="s">
        <v>145</v>
      </c>
      <c r="B16" s="56">
        <v>9.8333333330000006</v>
      </c>
      <c r="C16" s="56">
        <v>4</v>
      </c>
      <c r="D16" s="57">
        <v>13.83333333</v>
      </c>
    </row>
    <row r="17" spans="1:4">
      <c r="A17" s="54" t="s">
        <v>146</v>
      </c>
      <c r="B17" s="56">
        <v>5</v>
      </c>
      <c r="C17" s="56">
        <v>4</v>
      </c>
      <c r="D17" s="57">
        <v>9</v>
      </c>
    </row>
    <row r="18" spans="1:4">
      <c r="A18" s="54" t="s">
        <v>147</v>
      </c>
      <c r="B18" s="56">
        <v>18.5</v>
      </c>
      <c r="C18" s="56">
        <v>1.5</v>
      </c>
      <c r="D18" s="57">
        <v>20</v>
      </c>
    </row>
    <row r="19" spans="1:4">
      <c r="A19" s="54" t="s">
        <v>148</v>
      </c>
      <c r="B19" s="56">
        <v>24.5</v>
      </c>
      <c r="C19" s="56"/>
      <c r="D19" s="57">
        <v>24.5</v>
      </c>
    </row>
    <row r="20" spans="1:4">
      <c r="A20" s="54" t="s">
        <v>149</v>
      </c>
      <c r="B20" s="56">
        <v>7.5</v>
      </c>
      <c r="C20" s="56"/>
      <c r="D20" s="57">
        <v>7.5</v>
      </c>
    </row>
    <row r="21" spans="1:4">
      <c r="A21" s="54" t="s">
        <v>150</v>
      </c>
      <c r="B21" s="56">
        <v>35</v>
      </c>
      <c r="C21" s="56"/>
      <c r="D21" s="57">
        <v>35</v>
      </c>
    </row>
    <row r="22" spans="1:4">
      <c r="A22" s="54" t="s">
        <v>151</v>
      </c>
      <c r="B22" s="56">
        <v>5.5</v>
      </c>
      <c r="C22" s="56"/>
      <c r="D22" s="57">
        <v>5.5</v>
      </c>
    </row>
    <row r="23" spans="1:4">
      <c r="A23" s="54" t="s">
        <v>152</v>
      </c>
      <c r="B23" s="56">
        <v>12.5</v>
      </c>
      <c r="C23" s="56">
        <v>7.5</v>
      </c>
      <c r="D23" s="57">
        <v>20</v>
      </c>
    </row>
    <row r="24" spans="1:4">
      <c r="A24" s="54" t="s">
        <v>153</v>
      </c>
      <c r="B24" s="56">
        <v>8</v>
      </c>
      <c r="C24" s="56">
        <v>1.5</v>
      </c>
      <c r="D24" s="57">
        <v>9.5</v>
      </c>
    </row>
  </sheetData>
  <mergeCells count="9">
    <mergeCell ref="B8:C8"/>
    <mergeCell ref="B9:E9"/>
    <mergeCell ref="B10:E10"/>
    <mergeCell ref="B6:E6"/>
    <mergeCell ref="A1:E1"/>
    <mergeCell ref="A2:E2"/>
    <mergeCell ref="B4:C4"/>
    <mergeCell ref="B5:E5"/>
    <mergeCell ref="B7:E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E1E4-1001-4DD5-B22A-6EECA1ADAFDE}">
  <sheetPr>
    <tabColor rgb="FF1F4E78"/>
  </sheetPr>
  <dimension ref="A1:H26"/>
  <sheetViews>
    <sheetView showGridLines="0" topLeftCell="B15" workbookViewId="0">
      <selection activeCell="A11" sqref="A11:H11"/>
    </sheetView>
  </sheetViews>
  <sheetFormatPr defaultRowHeight="15"/>
  <cols>
    <col min="1" max="1" width="15.5703125" customWidth="1"/>
    <col min="2" max="2" width="34.28515625" customWidth="1"/>
    <col min="3" max="3" width="20" customWidth="1"/>
    <col min="4" max="4" width="34.28515625" customWidth="1"/>
    <col min="5" max="5" width="36.140625" customWidth="1"/>
    <col min="6" max="7" width="25.7109375" customWidth="1"/>
    <col min="8" max="8" width="32.42578125" customWidth="1"/>
  </cols>
  <sheetData>
    <row r="1" spans="1:8" ht="30" customHeight="1">
      <c r="A1" s="118" t="s">
        <v>154</v>
      </c>
      <c r="B1" s="118"/>
      <c r="C1" s="118"/>
      <c r="D1" s="118"/>
      <c r="E1" s="118"/>
      <c r="F1" s="118"/>
      <c r="G1" s="118"/>
      <c r="H1" s="118"/>
    </row>
    <row r="2" spans="1:8">
      <c r="A2" s="119" t="s">
        <v>115</v>
      </c>
      <c r="B2" s="119"/>
      <c r="C2" s="119"/>
      <c r="D2" s="119"/>
      <c r="E2" s="119"/>
      <c r="F2" s="119"/>
      <c r="G2" s="119"/>
      <c r="H2" s="119"/>
    </row>
    <row r="3" spans="1:8">
      <c r="A3" s="15"/>
      <c r="B3" s="15"/>
      <c r="C3" s="15"/>
      <c r="D3" s="15"/>
      <c r="E3" s="15"/>
      <c r="F3" s="15"/>
      <c r="G3" s="15"/>
      <c r="H3" s="15"/>
    </row>
    <row r="4" spans="1:8">
      <c r="A4" s="26" t="s">
        <v>116</v>
      </c>
      <c r="B4" s="120">
        <f>Seguimiento!B3</f>
        <v>46266</v>
      </c>
      <c r="C4" s="114"/>
      <c r="D4" s="18">
        <f>Seguimiento!B4</f>
        <v>46295</v>
      </c>
      <c r="E4" s="16" t="s">
        <v>117</v>
      </c>
      <c r="F4" s="113" t="str">
        <f>Seguimiento!E3</f>
        <v>Emerson Garita López</v>
      </c>
      <c r="G4" s="114"/>
      <c r="H4" s="19">
        <v>3</v>
      </c>
    </row>
    <row r="5" spans="1:8">
      <c r="A5" s="16" t="s">
        <v>118</v>
      </c>
      <c r="B5" s="113" t="str">
        <f>Seguimiento!B9</f>
        <v>Tardias</v>
      </c>
      <c r="C5" s="114"/>
      <c r="D5" s="113"/>
      <c r="E5" s="114"/>
      <c r="F5" s="113"/>
      <c r="G5" s="114"/>
      <c r="H5" s="113"/>
    </row>
    <row r="6" spans="1:8" ht="25.5">
      <c r="A6" s="16" t="s">
        <v>119</v>
      </c>
      <c r="B6" s="113" t="str">
        <f>Seguimiento!C9</f>
        <v>Registro completo y actualizado de Tardias</v>
      </c>
      <c r="C6" s="114"/>
      <c r="D6" s="113"/>
      <c r="E6" s="114"/>
      <c r="F6" s="113"/>
      <c r="G6" s="114"/>
      <c r="H6" s="113"/>
    </row>
    <row r="7" spans="1:8">
      <c r="A7" s="16" t="s">
        <v>11</v>
      </c>
      <c r="B7" s="113" t="str">
        <f>Seguimiento!D9</f>
        <v>Sin pérdida de registros</v>
      </c>
      <c r="C7" s="114"/>
      <c r="D7" s="113"/>
      <c r="E7" s="114"/>
      <c r="F7" s="113"/>
      <c r="G7" s="114"/>
      <c r="H7" s="113"/>
    </row>
    <row r="8" spans="1:8">
      <c r="A8" s="16" t="s">
        <v>120</v>
      </c>
      <c r="B8" s="113" t="str">
        <f>IF(Seguimiento!E9,"Cumplido",IF(Seguimiento!F9,"N/A","Pendiente"))</f>
        <v>Cumplido</v>
      </c>
      <c r="C8" s="114"/>
      <c r="D8" s="19" t="str">
        <f>IF(Seguimiento!E9,"Sí","No")</f>
        <v>Sí</v>
      </c>
      <c r="E8" s="16"/>
      <c r="F8" s="19" t="s">
        <v>155</v>
      </c>
      <c r="G8" s="16"/>
      <c r="H8" s="19"/>
    </row>
    <row r="9" spans="1:8">
      <c r="A9" s="16" t="s">
        <v>121</v>
      </c>
      <c r="B9" s="113" t="str">
        <f>IF(Seguimiento!E9,"Control mensual completado",IF(Seguimiento!F9,"Indicador no aplicable en el periodo","Requiere seguimiento"))</f>
        <v>Control mensual completado</v>
      </c>
      <c r="C9" s="114"/>
      <c r="D9" s="113"/>
      <c r="E9" s="114"/>
      <c r="F9" s="113"/>
      <c r="G9" s="114"/>
      <c r="H9" s="113"/>
    </row>
    <row r="10" spans="1:8" ht="25.5">
      <c r="A10" s="20" t="s">
        <v>122</v>
      </c>
      <c r="B10" s="115">
        <f>Seguimiento!G9</f>
        <v>0</v>
      </c>
      <c r="C10" s="116"/>
      <c r="D10" s="115"/>
      <c r="E10" s="116"/>
      <c r="F10" s="115"/>
      <c r="G10" s="116"/>
      <c r="H10" s="115"/>
    </row>
    <row r="11" spans="1:8" ht="27.75" customHeight="1">
      <c r="A11" s="129" t="s">
        <v>156</v>
      </c>
      <c r="B11" s="129"/>
      <c r="C11" s="129"/>
      <c r="D11" s="129"/>
      <c r="E11" s="129"/>
      <c r="F11" s="129"/>
      <c r="G11" s="129"/>
      <c r="H11" s="129"/>
    </row>
    <row r="13" spans="1:8" ht="32.25" customHeight="1">
      <c r="A13" s="38" t="s">
        <v>5</v>
      </c>
      <c r="B13" s="34" t="s">
        <v>157</v>
      </c>
      <c r="C13" s="34" t="s">
        <v>86</v>
      </c>
      <c r="D13" s="34" t="s">
        <v>158</v>
      </c>
      <c r="E13" s="40" t="s">
        <v>159</v>
      </c>
    </row>
    <row r="14" spans="1:8" ht="30" customHeight="1">
      <c r="A14" s="39" t="s">
        <v>160</v>
      </c>
      <c r="B14" s="35" t="s">
        <v>161</v>
      </c>
      <c r="C14" s="36" t="s">
        <v>162</v>
      </c>
      <c r="D14" s="37" t="s">
        <v>163</v>
      </c>
      <c r="E14" s="41"/>
    </row>
    <row r="15" spans="1:8" ht="30" customHeight="1">
      <c r="A15" s="58" t="s">
        <v>160</v>
      </c>
      <c r="B15" s="59" t="s">
        <v>164</v>
      </c>
      <c r="C15" s="60" t="s">
        <v>162</v>
      </c>
      <c r="D15" s="61" t="s">
        <v>163</v>
      </c>
      <c r="E15" s="61"/>
    </row>
    <row r="16" spans="1:8" ht="30" customHeight="1">
      <c r="A16" s="58" t="s">
        <v>165</v>
      </c>
      <c r="B16" s="59" t="s">
        <v>166</v>
      </c>
      <c r="C16" s="60" t="s">
        <v>167</v>
      </c>
      <c r="D16" s="61" t="s">
        <v>163</v>
      </c>
      <c r="E16" s="61"/>
    </row>
    <row r="17" spans="1:5" ht="30" customHeight="1">
      <c r="A17" s="58" t="s">
        <v>168</v>
      </c>
      <c r="B17" s="59" t="s">
        <v>169</v>
      </c>
      <c r="C17" s="60" t="s">
        <v>170</v>
      </c>
      <c r="D17" s="61" t="s">
        <v>163</v>
      </c>
      <c r="E17" s="61"/>
    </row>
    <row r="18" spans="1:5" ht="30" customHeight="1">
      <c r="A18" s="58" t="s">
        <v>171</v>
      </c>
      <c r="B18" s="59" t="s">
        <v>172</v>
      </c>
      <c r="C18" s="60" t="s">
        <v>167</v>
      </c>
      <c r="D18" s="61" t="s">
        <v>163</v>
      </c>
      <c r="E18" s="61"/>
    </row>
    <row r="19" spans="1:5" ht="30" customHeight="1">
      <c r="A19" s="58" t="s">
        <v>173</v>
      </c>
      <c r="B19" s="59" t="s">
        <v>174</v>
      </c>
      <c r="C19" s="60" t="s">
        <v>175</v>
      </c>
      <c r="D19" s="61" t="s">
        <v>163</v>
      </c>
      <c r="E19" s="61"/>
    </row>
    <row r="20" spans="1:5" ht="30" customHeight="1">
      <c r="A20" s="58" t="s">
        <v>176</v>
      </c>
      <c r="B20" s="59" t="s">
        <v>174</v>
      </c>
      <c r="C20" s="60" t="s">
        <v>167</v>
      </c>
      <c r="D20" s="61" t="s">
        <v>163</v>
      </c>
      <c r="E20" s="61"/>
    </row>
    <row r="21" spans="1:5" ht="30" customHeight="1">
      <c r="A21" s="58" t="s">
        <v>177</v>
      </c>
      <c r="B21" s="59" t="s">
        <v>164</v>
      </c>
      <c r="C21" s="60" t="s">
        <v>178</v>
      </c>
      <c r="D21" s="61" t="s">
        <v>179</v>
      </c>
      <c r="E21" s="61"/>
    </row>
    <row r="22" spans="1:5" ht="30" customHeight="1">
      <c r="A22" s="58" t="s">
        <v>180</v>
      </c>
      <c r="B22" s="59" t="s">
        <v>164</v>
      </c>
      <c r="C22" s="60" t="s">
        <v>175</v>
      </c>
      <c r="D22" s="61" t="s">
        <v>163</v>
      </c>
      <c r="E22" s="61"/>
    </row>
    <row r="23" spans="1:5" ht="30" customHeight="1">
      <c r="A23" s="58" t="s">
        <v>181</v>
      </c>
      <c r="B23" s="59" t="s">
        <v>164</v>
      </c>
      <c r="C23" s="60" t="s">
        <v>175</v>
      </c>
      <c r="D23" s="61" t="s">
        <v>163</v>
      </c>
      <c r="E23" s="61"/>
    </row>
    <row r="24" spans="1:5" ht="26.25" customHeight="1">
      <c r="A24" s="58" t="s">
        <v>173</v>
      </c>
      <c r="B24" s="59" t="s">
        <v>166</v>
      </c>
      <c r="C24" s="60" t="s">
        <v>170</v>
      </c>
      <c r="D24" s="61" t="s">
        <v>163</v>
      </c>
      <c r="E24" s="61"/>
    </row>
    <row r="25" spans="1:5" ht="23.25" customHeight="1">
      <c r="A25" s="58" t="s">
        <v>173</v>
      </c>
      <c r="B25" s="59" t="s">
        <v>172</v>
      </c>
      <c r="C25" s="60" t="s">
        <v>175</v>
      </c>
      <c r="D25" s="61" t="s">
        <v>163</v>
      </c>
      <c r="E25" s="61"/>
    </row>
    <row r="26" spans="1:5" ht="26.25" customHeight="1">
      <c r="A26" s="58" t="s">
        <v>182</v>
      </c>
      <c r="B26" s="59" t="s">
        <v>172</v>
      </c>
      <c r="C26" s="60" t="s">
        <v>167</v>
      </c>
      <c r="D26" s="61" t="s">
        <v>163</v>
      </c>
      <c r="E26" s="61"/>
    </row>
  </sheetData>
  <mergeCells count="11">
    <mergeCell ref="A11:H11"/>
    <mergeCell ref="B6:H6"/>
    <mergeCell ref="A1:H1"/>
    <mergeCell ref="A2:H2"/>
    <mergeCell ref="B4:C4"/>
    <mergeCell ref="F4:G4"/>
    <mergeCell ref="B5:H5"/>
    <mergeCell ref="B7:H7"/>
    <mergeCell ref="B8:C8"/>
    <mergeCell ref="B9:H9"/>
    <mergeCell ref="B10:H10"/>
  </mergeCells>
  <conditionalFormatting sqref="C14:C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{9F452D87-4DBA-409E-9655-89FC8AF91DC5}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452D87-4DBA-409E-9655-89FC8AF91DC5}">
            <x14:dataBar minLength="0" maxLength="100" negativeBarColorSameAsPositive="1" axisPosition="none">
              <x14:cfvo type="min"/>
              <x14:cfvo type="max"/>
            </x14:dataBar>
          </x14:cfRule>
          <xm:sqref>C14:C26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0842-6116-4319-A552-3C5A11E6DD24}">
  <sheetPr>
    <tabColor rgb="FF1F4E78"/>
  </sheetPr>
  <dimension ref="A1:J41"/>
  <sheetViews>
    <sheetView showGridLines="0" topLeftCell="A8" workbookViewId="0">
      <selection activeCell="G15" sqref="G15:J15"/>
    </sheetView>
  </sheetViews>
  <sheetFormatPr defaultRowHeight="15"/>
  <cols>
    <col min="1" max="1" width="14.85546875" customWidth="1"/>
    <col min="2" max="2" width="32.42578125" customWidth="1"/>
    <col min="3" max="3" width="21" customWidth="1"/>
    <col min="4" max="4" width="16.140625" customWidth="1"/>
    <col min="5" max="7" width="27.5703125" customWidth="1"/>
    <col min="8" max="8" width="19" customWidth="1"/>
  </cols>
  <sheetData>
    <row r="1" spans="1:10" ht="30" customHeight="1">
      <c r="A1" s="118" t="s">
        <v>183</v>
      </c>
      <c r="B1" s="118"/>
      <c r="C1" s="118"/>
      <c r="D1" s="118"/>
      <c r="E1" s="118"/>
      <c r="F1" s="118"/>
      <c r="G1" s="118"/>
      <c r="H1" s="118"/>
    </row>
    <row r="2" spans="1:10">
      <c r="A2" s="119" t="s">
        <v>115</v>
      </c>
      <c r="B2" s="119"/>
      <c r="C2" s="119"/>
      <c r="D2" s="119"/>
      <c r="E2" s="119"/>
      <c r="F2" s="119"/>
      <c r="G2" s="119"/>
      <c r="H2" s="119"/>
    </row>
    <row r="3" spans="1:10">
      <c r="A3" s="15"/>
      <c r="B3" s="15"/>
      <c r="C3" s="15"/>
      <c r="D3" s="15"/>
      <c r="E3" s="15"/>
      <c r="F3" s="15"/>
      <c r="G3" s="15"/>
      <c r="H3" s="15"/>
    </row>
    <row r="4" spans="1:10">
      <c r="A4" s="26" t="s">
        <v>116</v>
      </c>
      <c r="B4" s="120">
        <f>Seguimiento!B3</f>
        <v>46266</v>
      </c>
      <c r="C4" s="114"/>
      <c r="D4" s="18">
        <f>Seguimiento!B4</f>
        <v>46295</v>
      </c>
      <c r="E4" s="16" t="s">
        <v>117</v>
      </c>
      <c r="F4" s="113" t="str">
        <f>Seguimiento!E3</f>
        <v>Emerson Garita López</v>
      </c>
      <c r="G4" s="114"/>
      <c r="H4" s="19">
        <v>4</v>
      </c>
    </row>
    <row r="5" spans="1:10">
      <c r="A5" s="16" t="s">
        <v>118</v>
      </c>
      <c r="B5" s="113" t="str">
        <f>Seguimiento!B10</f>
        <v>Herramientas móviles</v>
      </c>
      <c r="C5" s="114"/>
      <c r="D5" s="113"/>
      <c r="E5" s="114"/>
      <c r="F5" s="113"/>
      <c r="G5" s="114"/>
      <c r="H5" s="113"/>
    </row>
    <row r="6" spans="1:10" ht="25.5">
      <c r="A6" s="16" t="s">
        <v>119</v>
      </c>
      <c r="B6" s="113" t="str">
        <f>Seguimiento!C10</f>
        <v>Registro y control de herramientas asignadas a móviles</v>
      </c>
      <c r="C6" s="114"/>
      <c r="D6" s="113"/>
      <c r="E6" s="114"/>
      <c r="F6" s="113"/>
      <c r="G6" s="114"/>
      <c r="H6" s="113"/>
    </row>
    <row r="7" spans="1:10">
      <c r="A7" s="16" t="s">
        <v>11</v>
      </c>
      <c r="B7" s="113" t="str">
        <f>Seguimiento!D10</f>
        <v>Sin pérdida de registros</v>
      </c>
      <c r="C7" s="114"/>
      <c r="D7" s="113"/>
      <c r="E7" s="114"/>
      <c r="F7" s="113"/>
      <c r="G7" s="114"/>
      <c r="H7" s="113"/>
    </row>
    <row r="8" spans="1:10">
      <c r="A8" s="16" t="s">
        <v>120</v>
      </c>
      <c r="B8" s="113" t="str">
        <f>IF(Seguimiento!E10,"Cumplido",IF(Seguimiento!F10,"N/A","Pendiente"))</f>
        <v>Cumplido</v>
      </c>
      <c r="C8" s="114"/>
      <c r="D8" s="19" t="str">
        <f>IF(Seguimiento!E10,"Sí","No")</f>
        <v>Sí</v>
      </c>
      <c r="E8" s="16" t="s">
        <v>13</v>
      </c>
      <c r="F8" s="19" t="str">
        <f>IF(Seguimiento!F10,"Sí","No")</f>
        <v>No</v>
      </c>
      <c r="G8" s="16"/>
      <c r="H8" s="19"/>
    </row>
    <row r="9" spans="1:10">
      <c r="A9" s="16" t="s">
        <v>121</v>
      </c>
      <c r="B9" s="113" t="str">
        <f>IF(Seguimiento!E10,"Control mensual completado",IF(Seguimiento!F10,"Indicador no aplicable en el periodo","Requiere seguimiento"))</f>
        <v>Control mensual completado</v>
      </c>
      <c r="C9" s="114"/>
      <c r="D9" s="113"/>
      <c r="E9" s="114"/>
      <c r="F9" s="113"/>
      <c r="G9" s="114"/>
      <c r="H9" s="113"/>
    </row>
    <row r="10" spans="1:10" ht="25.5">
      <c r="A10" s="20" t="s">
        <v>122</v>
      </c>
      <c r="B10" s="115">
        <f>Seguimiento!G10</f>
        <v>0</v>
      </c>
      <c r="C10" s="116"/>
      <c r="D10" s="115"/>
      <c r="E10" s="116"/>
      <c r="F10" s="115"/>
      <c r="G10" s="116"/>
      <c r="H10" s="115"/>
    </row>
    <row r="11" spans="1:10" ht="24">
      <c r="A11" s="130" t="s">
        <v>184</v>
      </c>
      <c r="B11" s="130"/>
      <c r="C11" s="130"/>
      <c r="D11" s="130"/>
      <c r="E11" s="130"/>
      <c r="F11" s="130"/>
      <c r="G11" s="130"/>
      <c r="H11" s="130"/>
      <c r="I11" s="130"/>
      <c r="J11" s="130"/>
    </row>
    <row r="12" spans="1:10">
      <c r="A12" s="180" t="s">
        <v>185</v>
      </c>
      <c r="B12" s="180"/>
      <c r="C12" s="180"/>
      <c r="D12" s="180"/>
      <c r="E12" s="180"/>
      <c r="F12" s="180"/>
      <c r="G12" s="180"/>
      <c r="H12" s="180"/>
      <c r="I12" s="180"/>
      <c r="J12" s="180"/>
    </row>
    <row r="13" spans="1:10">
      <c r="A13" s="67"/>
      <c r="B13" s="67"/>
      <c r="C13" s="67"/>
      <c r="D13" s="67"/>
      <c r="E13" s="67"/>
      <c r="F13" s="67"/>
      <c r="G13" s="67"/>
      <c r="H13" s="67"/>
      <c r="I13" s="67"/>
      <c r="J13" s="67"/>
    </row>
    <row r="14" spans="1:10" ht="22.5" customHeight="1">
      <c r="A14" s="181" t="s">
        <v>186</v>
      </c>
      <c r="B14" s="181"/>
      <c r="C14" s="181" t="s">
        <v>187</v>
      </c>
      <c r="D14" s="181"/>
      <c r="E14" s="181" t="s">
        <v>188</v>
      </c>
      <c r="F14" s="181"/>
      <c r="G14" s="181" t="s">
        <v>189</v>
      </c>
      <c r="H14" s="181"/>
      <c r="I14" s="181"/>
      <c r="J14" s="181"/>
    </row>
    <row r="15" spans="1:10" ht="26.25" customHeight="1">
      <c r="A15" s="182">
        <v>46</v>
      </c>
      <c r="B15" s="182"/>
      <c r="C15" s="183">
        <v>0.75</v>
      </c>
      <c r="D15" s="182"/>
      <c r="E15" s="182">
        <v>46</v>
      </c>
      <c r="F15" s="182"/>
      <c r="G15" s="182" t="s">
        <v>190</v>
      </c>
      <c r="H15" s="182"/>
      <c r="I15" s="182"/>
      <c r="J15" s="182"/>
    </row>
    <row r="16" spans="1:10">
      <c r="A16" s="67"/>
      <c r="B16" s="67"/>
      <c r="C16" s="67"/>
      <c r="D16" s="67"/>
      <c r="E16" s="67"/>
      <c r="F16" s="67"/>
      <c r="G16" s="67"/>
      <c r="H16" s="67"/>
      <c r="I16" s="67"/>
      <c r="J16" s="67"/>
    </row>
    <row r="17" spans="1:10">
      <c r="A17" s="184" t="s">
        <v>191</v>
      </c>
      <c r="B17" s="184"/>
      <c r="C17" s="184"/>
      <c r="D17" s="184"/>
      <c r="E17" s="184"/>
      <c r="F17" s="184"/>
      <c r="G17" s="67"/>
      <c r="H17" s="67"/>
      <c r="I17" s="67"/>
      <c r="J17" s="67"/>
    </row>
    <row r="18" spans="1:10">
      <c r="A18" s="90" t="s">
        <v>192</v>
      </c>
      <c r="B18" s="91" t="s">
        <v>193</v>
      </c>
      <c r="C18" s="91" t="s">
        <v>64</v>
      </c>
      <c r="D18" s="91" t="s">
        <v>63</v>
      </c>
      <c r="E18" s="91" t="s">
        <v>194</v>
      </c>
      <c r="F18" s="92" t="s">
        <v>75</v>
      </c>
      <c r="G18" s="184" t="s">
        <v>195</v>
      </c>
      <c r="H18" s="184"/>
      <c r="I18" s="184"/>
      <c r="J18" s="184"/>
    </row>
    <row r="19" spans="1:10">
      <c r="A19" s="93" t="s">
        <v>196</v>
      </c>
      <c r="B19" s="94">
        <v>40</v>
      </c>
      <c r="C19" s="94">
        <v>5</v>
      </c>
      <c r="D19" s="94">
        <v>1</v>
      </c>
      <c r="E19" s="95">
        <v>0.97799999999999998</v>
      </c>
      <c r="F19" s="96" t="s">
        <v>197</v>
      </c>
      <c r="G19" s="185" t="s">
        <v>193</v>
      </c>
      <c r="H19" s="185"/>
      <c r="I19" s="131" t="s">
        <v>198</v>
      </c>
      <c r="J19" s="131"/>
    </row>
    <row r="20" spans="1:10">
      <c r="A20" s="97" t="s">
        <v>199</v>
      </c>
      <c r="B20" s="98">
        <v>44</v>
      </c>
      <c r="C20" s="98">
        <v>0</v>
      </c>
      <c r="D20" s="98">
        <v>2</v>
      </c>
      <c r="E20" s="99">
        <v>0.95699999999999996</v>
      </c>
      <c r="F20" s="96" t="s">
        <v>197</v>
      </c>
      <c r="G20" s="185" t="s">
        <v>64</v>
      </c>
      <c r="H20" s="185"/>
      <c r="I20" s="131" t="s">
        <v>200</v>
      </c>
      <c r="J20" s="131"/>
    </row>
    <row r="21" spans="1:10">
      <c r="A21" s="93" t="s">
        <v>201</v>
      </c>
      <c r="B21" s="94">
        <v>5</v>
      </c>
      <c r="C21" s="94">
        <v>0</v>
      </c>
      <c r="D21" s="94">
        <v>41</v>
      </c>
      <c r="E21" s="95">
        <v>0.109</v>
      </c>
      <c r="F21" s="100" t="s">
        <v>202</v>
      </c>
      <c r="G21" s="185" t="s">
        <v>63</v>
      </c>
      <c r="H21" s="185"/>
      <c r="I21" s="131" t="s">
        <v>203</v>
      </c>
      <c r="J21" s="131"/>
    </row>
    <row r="22" spans="1:10">
      <c r="A22" s="97" t="s">
        <v>204</v>
      </c>
      <c r="B22" s="98">
        <v>44</v>
      </c>
      <c r="C22" s="98">
        <v>0</v>
      </c>
      <c r="D22" s="98">
        <v>2</v>
      </c>
      <c r="E22" s="99">
        <v>0.95699999999999996</v>
      </c>
      <c r="F22" s="96" t="s">
        <v>197</v>
      </c>
      <c r="G22" s="185" t="s">
        <v>205</v>
      </c>
      <c r="H22" s="185"/>
      <c r="I22" s="132" t="s">
        <v>206</v>
      </c>
      <c r="J22" s="132"/>
    </row>
    <row r="23" spans="1:10">
      <c r="A23" s="101"/>
      <c r="B23" s="101"/>
      <c r="C23" s="101"/>
      <c r="D23" s="101"/>
      <c r="E23" s="101"/>
      <c r="F23" s="101"/>
      <c r="G23" s="101"/>
      <c r="H23" s="101"/>
      <c r="I23" s="101"/>
      <c r="J23" s="101"/>
    </row>
    <row r="24" spans="1:10">
      <c r="A24" s="33"/>
      <c r="B24" s="101"/>
      <c r="C24" s="101"/>
      <c r="D24" s="101"/>
      <c r="E24" s="101"/>
      <c r="F24" s="101"/>
      <c r="G24" s="101"/>
      <c r="H24" s="101"/>
      <c r="I24" s="101"/>
      <c r="J24" s="101"/>
    </row>
    <row r="25" spans="1:10">
      <c r="A25" s="101"/>
      <c r="B25" s="101"/>
      <c r="C25" s="101"/>
      <c r="D25" s="101"/>
      <c r="E25" s="101"/>
      <c r="F25" s="101"/>
      <c r="G25" s="101"/>
      <c r="H25" s="101"/>
      <c r="I25" s="101"/>
      <c r="J25" s="101"/>
    </row>
    <row r="26" spans="1:10">
      <c r="A26" s="101"/>
      <c r="B26" s="101"/>
      <c r="C26" s="101"/>
      <c r="D26" s="101"/>
      <c r="E26" s="101"/>
      <c r="F26" s="101"/>
      <c r="G26" s="101"/>
      <c r="H26" s="101"/>
      <c r="I26" s="101"/>
      <c r="J26" s="101"/>
    </row>
    <row r="27" spans="1:10">
      <c r="A27" s="101"/>
      <c r="B27" s="101"/>
      <c r="C27" s="101"/>
      <c r="D27" s="101"/>
      <c r="E27" s="101"/>
      <c r="F27" s="101"/>
      <c r="G27" s="101"/>
      <c r="H27" s="101"/>
      <c r="I27" s="101"/>
      <c r="J27" s="101"/>
    </row>
    <row r="28" spans="1:10">
      <c r="A28" s="101"/>
      <c r="B28" s="101"/>
      <c r="C28" s="101"/>
      <c r="D28" s="101"/>
      <c r="E28" s="101"/>
      <c r="F28" s="101"/>
      <c r="G28" s="101"/>
      <c r="H28" s="101"/>
      <c r="I28" s="101"/>
      <c r="J28" s="101"/>
    </row>
    <row r="29" spans="1:10">
      <c r="A29" s="101"/>
      <c r="B29" s="101"/>
      <c r="C29" s="101"/>
      <c r="D29" s="101"/>
      <c r="E29" s="101"/>
      <c r="F29" s="101"/>
      <c r="G29" s="101"/>
      <c r="H29" s="101"/>
      <c r="I29" s="101"/>
      <c r="J29" s="101"/>
    </row>
    <row r="30" spans="1:10">
      <c r="A30" s="101"/>
      <c r="B30" s="101"/>
      <c r="C30" s="101"/>
      <c r="D30" s="101"/>
      <c r="E30" s="101"/>
      <c r="F30" s="101"/>
      <c r="G30" s="101"/>
      <c r="H30" s="101"/>
      <c r="I30" s="101"/>
      <c r="J30" s="101"/>
    </row>
    <row r="31" spans="1:10">
      <c r="A31" s="101"/>
      <c r="B31" s="101"/>
      <c r="C31" s="101"/>
      <c r="D31" s="101"/>
      <c r="E31" s="101"/>
      <c r="F31" s="101"/>
      <c r="G31" s="101"/>
      <c r="H31" s="101"/>
      <c r="I31" s="101"/>
      <c r="J31" s="101"/>
    </row>
    <row r="32" spans="1:10">
      <c r="A32" s="101"/>
      <c r="B32" s="101"/>
      <c r="C32" s="101"/>
      <c r="D32" s="101"/>
      <c r="E32" s="101"/>
      <c r="F32" s="101"/>
      <c r="G32" s="101"/>
      <c r="H32" s="101"/>
      <c r="I32" s="101"/>
      <c r="J32" s="101"/>
    </row>
    <row r="33" spans="1:10">
      <c r="A33" s="101"/>
      <c r="B33" s="101"/>
      <c r="C33" s="101"/>
      <c r="D33" s="101"/>
      <c r="E33" s="101"/>
      <c r="F33" s="101"/>
      <c r="G33" s="101"/>
      <c r="H33" s="101"/>
      <c r="I33" s="101"/>
      <c r="J33" s="101"/>
    </row>
    <row r="34" spans="1:10">
      <c r="A34" s="101"/>
      <c r="B34" s="101"/>
      <c r="C34" s="101"/>
      <c r="D34" s="101"/>
      <c r="E34" s="101"/>
      <c r="F34" s="101"/>
      <c r="G34" s="101"/>
      <c r="H34" s="101"/>
      <c r="I34" s="101"/>
      <c r="J34" s="101"/>
    </row>
    <row r="35" spans="1:10">
      <c r="A35" s="101"/>
      <c r="B35" s="101"/>
      <c r="C35" s="101"/>
      <c r="D35" s="101"/>
      <c r="E35" s="101"/>
      <c r="F35" s="101"/>
      <c r="G35" s="101"/>
      <c r="H35" s="101"/>
      <c r="I35" s="101"/>
      <c r="J35" s="101"/>
    </row>
    <row r="36" spans="1:10">
      <c r="A36" s="101"/>
      <c r="B36" s="101"/>
      <c r="C36" s="101"/>
      <c r="D36" s="101"/>
      <c r="E36" s="101"/>
      <c r="F36" s="101"/>
      <c r="G36" s="101"/>
      <c r="H36" s="101"/>
      <c r="I36" s="101"/>
      <c r="J36" s="101"/>
    </row>
    <row r="37" spans="1:10">
      <c r="A37" s="101"/>
      <c r="B37" s="101"/>
      <c r="C37" s="101"/>
      <c r="D37" s="101"/>
      <c r="E37" s="101"/>
      <c r="F37" s="101"/>
      <c r="G37" s="101"/>
      <c r="H37" s="101"/>
      <c r="I37" s="101"/>
      <c r="J37" s="101"/>
    </row>
    <row r="38" spans="1:10">
      <c r="A38" s="101"/>
      <c r="B38" s="101"/>
      <c r="C38" s="101"/>
      <c r="D38" s="101"/>
      <c r="E38" s="101"/>
      <c r="F38" s="101"/>
      <c r="G38" s="101"/>
      <c r="H38" s="101"/>
      <c r="I38" s="101"/>
      <c r="J38" s="101"/>
    </row>
    <row r="39" spans="1:10">
      <c r="A39" s="101"/>
      <c r="B39" s="101"/>
      <c r="C39" s="101"/>
      <c r="D39" s="101"/>
      <c r="E39" s="101"/>
      <c r="F39" s="101"/>
      <c r="G39" s="101"/>
      <c r="H39" s="101"/>
      <c r="I39" s="101"/>
      <c r="J39" s="101"/>
    </row>
    <row r="40" spans="1:10">
      <c r="A40" s="101"/>
      <c r="B40" s="101"/>
      <c r="C40" s="101"/>
      <c r="D40" s="101"/>
      <c r="E40" s="101"/>
      <c r="F40" s="101"/>
      <c r="G40" s="101"/>
      <c r="H40" s="101"/>
      <c r="I40" s="101"/>
      <c r="J40" s="101"/>
    </row>
    <row r="41" spans="1:10">
      <c r="A41" s="33"/>
      <c r="B41" s="33"/>
      <c r="C41" s="33"/>
      <c r="D41" s="33"/>
      <c r="E41" s="33"/>
      <c r="F41" s="33"/>
      <c r="G41" s="33"/>
      <c r="H41" s="33"/>
      <c r="I41" s="33"/>
      <c r="J41" s="33"/>
    </row>
  </sheetData>
  <mergeCells count="30">
    <mergeCell ref="G21:H21"/>
    <mergeCell ref="I21:J21"/>
    <mergeCell ref="G22:H22"/>
    <mergeCell ref="I22:J22"/>
    <mergeCell ref="G18:J18"/>
    <mergeCell ref="G19:H19"/>
    <mergeCell ref="I19:J19"/>
    <mergeCell ref="G20:H20"/>
    <mergeCell ref="I20:J20"/>
    <mergeCell ref="A15:B15"/>
    <mergeCell ref="C15:D15"/>
    <mergeCell ref="E15:F15"/>
    <mergeCell ref="G15:J15"/>
    <mergeCell ref="A17:F17"/>
    <mergeCell ref="A11:J11"/>
    <mergeCell ref="A12:J12"/>
    <mergeCell ref="A14:B14"/>
    <mergeCell ref="C14:D14"/>
    <mergeCell ref="E14:F14"/>
    <mergeCell ref="G14:J14"/>
    <mergeCell ref="A1:H1"/>
    <mergeCell ref="A2:H2"/>
    <mergeCell ref="B4:C4"/>
    <mergeCell ref="F4:G4"/>
    <mergeCell ref="B5:H5"/>
    <mergeCell ref="B7:H7"/>
    <mergeCell ref="B8:C8"/>
    <mergeCell ref="B9:H9"/>
    <mergeCell ref="B10:H10"/>
    <mergeCell ref="B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E3A1-5263-42DA-B6DB-AE6941C069E9}">
  <sheetPr>
    <tabColor rgb="FF1F4E78"/>
  </sheetPr>
  <dimension ref="A1:V90"/>
  <sheetViews>
    <sheetView showGridLines="0" topLeftCell="A39" workbookViewId="0">
      <selection activeCell="G13" sqref="G13"/>
    </sheetView>
  </sheetViews>
  <sheetFormatPr defaultRowHeight="15"/>
  <cols>
    <col min="1" max="1" width="31.5703125" customWidth="1"/>
    <col min="2" max="2" width="12" customWidth="1"/>
    <col min="3" max="3" width="12.85546875" customWidth="1"/>
    <col min="4" max="4" width="12" customWidth="1"/>
    <col min="5" max="5" width="12.42578125" customWidth="1"/>
    <col min="6" max="6" width="19.5703125" customWidth="1"/>
    <col min="7" max="7" width="11.5703125" customWidth="1"/>
    <col min="8" max="8" width="13.5703125" customWidth="1"/>
    <col min="9" max="9" width="11.140625" customWidth="1"/>
    <col min="10" max="10" width="11.5703125" customWidth="1"/>
    <col min="14" max="14" width="14.5703125" customWidth="1"/>
    <col min="17" max="17" width="30.85546875" customWidth="1"/>
  </cols>
  <sheetData>
    <row r="1" spans="1:22" ht="30" customHeight="1">
      <c r="A1" s="118" t="s">
        <v>207</v>
      </c>
      <c r="B1" s="118"/>
      <c r="C1" s="118"/>
      <c r="D1" s="118"/>
      <c r="E1" s="118"/>
      <c r="F1" s="118"/>
      <c r="G1" s="118"/>
      <c r="H1" s="118"/>
    </row>
    <row r="2" spans="1:22">
      <c r="A2" s="119" t="s">
        <v>115</v>
      </c>
      <c r="B2" s="119"/>
      <c r="C2" s="119"/>
      <c r="D2" s="119"/>
      <c r="E2" s="119"/>
      <c r="F2" s="119"/>
      <c r="G2" s="119"/>
      <c r="H2" s="119"/>
    </row>
    <row r="3" spans="1:22">
      <c r="A3" s="15"/>
      <c r="B3" s="15"/>
      <c r="C3" s="15"/>
      <c r="D3" s="15"/>
      <c r="E3" s="15"/>
      <c r="F3" s="15"/>
      <c r="G3" s="15"/>
      <c r="H3" s="15"/>
    </row>
    <row r="4" spans="1:22" ht="25.5">
      <c r="A4" s="16" t="s">
        <v>116</v>
      </c>
      <c r="B4" s="120">
        <f>Seguimiento!B3</f>
        <v>46266</v>
      </c>
      <c r="C4" s="114"/>
      <c r="D4" s="18">
        <f>Seguimiento!B4</f>
        <v>46295</v>
      </c>
      <c r="E4" s="16" t="s">
        <v>117</v>
      </c>
      <c r="F4" s="113" t="str">
        <f>Seguimiento!E3</f>
        <v>Emerson Garita López</v>
      </c>
      <c r="G4" s="114"/>
      <c r="H4" s="19">
        <v>5</v>
      </c>
    </row>
    <row r="5" spans="1:22">
      <c r="A5" s="16" t="s">
        <v>118</v>
      </c>
      <c r="B5" s="113" t="str">
        <f>Seguimiento!B11</f>
        <v>Herramienta personal</v>
      </c>
      <c r="C5" s="114"/>
      <c r="D5" s="113"/>
      <c r="E5" s="114"/>
      <c r="F5" s="113"/>
      <c r="G5" s="114"/>
      <c r="H5" s="113"/>
    </row>
    <row r="6" spans="1:22" ht="25.5">
      <c r="A6" s="16" t="s">
        <v>119</v>
      </c>
      <c r="B6" s="113" t="str">
        <f>Seguimiento!C11</f>
        <v>Registro y control de herramienta asignada al personal</v>
      </c>
      <c r="C6" s="114"/>
      <c r="D6" s="113"/>
      <c r="E6" s="114"/>
      <c r="F6" s="113"/>
      <c r="G6" s="114"/>
      <c r="H6" s="113"/>
    </row>
    <row r="7" spans="1:22">
      <c r="A7" s="16" t="s">
        <v>11</v>
      </c>
      <c r="B7" s="113" t="str">
        <f>Seguimiento!D11</f>
        <v>Sin pérdida de registros</v>
      </c>
      <c r="C7" s="114"/>
      <c r="D7" s="113"/>
      <c r="E7" s="114"/>
      <c r="F7" s="113"/>
      <c r="G7" s="114"/>
      <c r="H7" s="113"/>
    </row>
    <row r="8" spans="1:22">
      <c r="A8" s="16" t="s">
        <v>120</v>
      </c>
      <c r="B8" s="113" t="str">
        <f>IF(Seguimiento!E11,"Cumplido",IF(Seguimiento!F11,"N/A","Pendiente"))</f>
        <v>Cumplido</v>
      </c>
      <c r="C8" s="114"/>
      <c r="D8" s="19" t="str">
        <f>IF(Seguimiento!E11,"Sí","No")</f>
        <v>Sí</v>
      </c>
      <c r="E8" s="16" t="s">
        <v>13</v>
      </c>
      <c r="F8" s="19" t="str">
        <f>IF(Seguimiento!F11,"Sí","No")</f>
        <v>No</v>
      </c>
      <c r="G8" s="16"/>
      <c r="H8" s="19"/>
    </row>
    <row r="9" spans="1:22">
      <c r="A9" s="16" t="s">
        <v>121</v>
      </c>
      <c r="B9" s="113" t="str">
        <f>IF(Seguimiento!E11,"Control mensual completado",IF(Seguimiento!F11,"Indicador no aplicable en el periodo","Requiere seguimiento"))</f>
        <v>Control mensual completado</v>
      </c>
      <c r="C9" s="114"/>
      <c r="D9" s="113"/>
      <c r="E9" s="114"/>
      <c r="F9" s="113"/>
      <c r="G9" s="114"/>
      <c r="H9" s="113"/>
    </row>
    <row r="10" spans="1:22" ht="25.5">
      <c r="A10" s="20" t="s">
        <v>122</v>
      </c>
      <c r="B10" s="115">
        <f>Seguimiento!G11</f>
        <v>0</v>
      </c>
      <c r="C10" s="116"/>
      <c r="D10" s="115"/>
      <c r="E10" s="116"/>
      <c r="F10" s="115"/>
      <c r="G10" s="116"/>
      <c r="H10" s="115"/>
    </row>
    <row r="11" spans="1:22">
      <c r="A11" s="15"/>
      <c r="B11" s="15"/>
      <c r="C11" s="15"/>
      <c r="D11" s="15"/>
      <c r="E11" s="15"/>
      <c r="F11" s="15"/>
      <c r="G11" s="15"/>
      <c r="H11" s="15"/>
    </row>
    <row r="12" spans="1:22">
      <c r="A12" s="117" t="s">
        <v>123</v>
      </c>
      <c r="B12" s="117"/>
      <c r="C12" s="117"/>
      <c r="D12" s="117"/>
      <c r="E12" s="117"/>
      <c r="F12" s="117"/>
      <c r="G12" s="117"/>
      <c r="H12" s="117"/>
    </row>
    <row r="13" spans="1:22" ht="38.25">
      <c r="A13" s="21" t="s">
        <v>5</v>
      </c>
      <c r="B13" s="22" t="s">
        <v>124</v>
      </c>
      <c r="C13" s="22" t="s">
        <v>117</v>
      </c>
      <c r="D13" s="22" t="s">
        <v>75</v>
      </c>
      <c r="E13" s="22" t="s">
        <v>125</v>
      </c>
      <c r="F13" s="22" t="s">
        <v>126</v>
      </c>
      <c r="G13" s="22" t="s">
        <v>127</v>
      </c>
      <c r="H13" s="23" t="s">
        <v>128</v>
      </c>
    </row>
    <row r="14" spans="1:22" ht="24">
      <c r="A14" s="186" t="s">
        <v>208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67"/>
      <c r="N14" s="67"/>
      <c r="O14" s="67"/>
      <c r="P14" s="67"/>
      <c r="Q14" s="67"/>
      <c r="R14" s="67"/>
      <c r="S14" s="67"/>
      <c r="T14" s="67"/>
      <c r="U14" s="67"/>
      <c r="V14" s="67"/>
    </row>
    <row r="15" spans="1:22" ht="15" customHeight="1">
      <c r="A15" s="68" t="s">
        <v>209</v>
      </c>
      <c r="B15" s="69">
        <v>457</v>
      </c>
      <c r="C15" s="68" t="s">
        <v>210</v>
      </c>
      <c r="D15" s="69">
        <v>73</v>
      </c>
      <c r="E15" s="70" t="s">
        <v>211</v>
      </c>
      <c r="F15" s="68" t="s">
        <v>212</v>
      </c>
      <c r="G15" s="71">
        <v>0</v>
      </c>
      <c r="H15" s="68" t="s">
        <v>213</v>
      </c>
      <c r="I15" s="69">
        <v>0</v>
      </c>
      <c r="J15" s="67"/>
      <c r="K15" s="67"/>
      <c r="L15" s="67"/>
      <c r="M15" s="67"/>
      <c r="N15" s="187" t="s">
        <v>214</v>
      </c>
      <c r="O15" s="187"/>
      <c r="P15" s="187"/>
      <c r="Q15" s="187"/>
      <c r="R15" s="187"/>
      <c r="S15" s="67"/>
      <c r="T15" s="67"/>
      <c r="U15" s="67"/>
      <c r="V15" s="67"/>
    </row>
    <row r="16" spans="1:22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</row>
    <row r="17" spans="1:22">
      <c r="A17" s="72" t="s">
        <v>215</v>
      </c>
      <c r="B17" s="73" t="s">
        <v>216</v>
      </c>
      <c r="C17" s="73" t="s">
        <v>217</v>
      </c>
      <c r="D17" s="73" t="s">
        <v>218</v>
      </c>
      <c r="E17" s="73" t="s">
        <v>219</v>
      </c>
      <c r="F17" s="73" t="s">
        <v>220</v>
      </c>
      <c r="G17" s="73" t="s">
        <v>221</v>
      </c>
      <c r="H17" s="73" t="s">
        <v>222</v>
      </c>
      <c r="I17" s="73" t="s">
        <v>223</v>
      </c>
      <c r="J17" s="73" t="s">
        <v>224</v>
      </c>
      <c r="K17" s="73" t="s">
        <v>225</v>
      </c>
      <c r="L17" s="74" t="s">
        <v>226</v>
      </c>
      <c r="M17" s="67"/>
      <c r="N17" s="75" t="s">
        <v>227</v>
      </c>
      <c r="O17" s="75" t="s">
        <v>226</v>
      </c>
      <c r="P17" s="67"/>
      <c r="Q17" s="75" t="s">
        <v>228</v>
      </c>
      <c r="R17" s="75" t="s">
        <v>226</v>
      </c>
      <c r="S17" s="67"/>
      <c r="T17" s="67"/>
      <c r="U17" s="67"/>
      <c r="V17" s="67"/>
    </row>
    <row r="18" spans="1:22">
      <c r="A18" s="76" t="s">
        <v>229</v>
      </c>
      <c r="B18" s="77">
        <v>1</v>
      </c>
      <c r="C18" s="77">
        <v>1</v>
      </c>
      <c r="D18" s="77">
        <v>1</v>
      </c>
      <c r="E18" s="77">
        <v>1</v>
      </c>
      <c r="F18" s="77">
        <v>1</v>
      </c>
      <c r="G18" s="77">
        <v>1</v>
      </c>
      <c r="H18" s="77">
        <v>1</v>
      </c>
      <c r="I18" s="77">
        <v>1</v>
      </c>
      <c r="J18" s="77">
        <v>1</v>
      </c>
      <c r="K18" s="77">
        <v>1</v>
      </c>
      <c r="L18" s="78">
        <v>10</v>
      </c>
      <c r="M18" s="67"/>
      <c r="N18" s="67" t="s">
        <v>216</v>
      </c>
      <c r="O18" s="67">
        <v>49</v>
      </c>
      <c r="P18" s="67"/>
      <c r="Q18" s="67" t="s">
        <v>230</v>
      </c>
      <c r="R18" s="67">
        <v>17</v>
      </c>
      <c r="S18" s="67"/>
      <c r="T18" s="67"/>
      <c r="U18" s="67"/>
      <c r="V18" s="67"/>
    </row>
    <row r="19" spans="1:22">
      <c r="A19" s="79" t="s">
        <v>231</v>
      </c>
      <c r="B19" s="80">
        <v>0</v>
      </c>
      <c r="C19" s="80">
        <v>0</v>
      </c>
      <c r="D19" s="80">
        <v>0</v>
      </c>
      <c r="E19" s="80">
        <v>0</v>
      </c>
      <c r="F19" s="80">
        <v>0</v>
      </c>
      <c r="G19" s="80">
        <v>0</v>
      </c>
      <c r="H19" s="81">
        <v>1</v>
      </c>
      <c r="I19" s="80">
        <v>0</v>
      </c>
      <c r="J19" s="80">
        <v>0</v>
      </c>
      <c r="K19" s="80">
        <v>0</v>
      </c>
      <c r="L19" s="82">
        <v>1</v>
      </c>
      <c r="M19" s="67"/>
      <c r="N19" s="67" t="s">
        <v>217</v>
      </c>
      <c r="O19" s="67">
        <v>45</v>
      </c>
      <c r="P19" s="67"/>
      <c r="Q19" s="67" t="s">
        <v>232</v>
      </c>
      <c r="R19" s="67">
        <v>14</v>
      </c>
      <c r="S19" s="67"/>
      <c r="T19" s="67"/>
      <c r="U19" s="67"/>
      <c r="V19" s="67"/>
    </row>
    <row r="20" spans="1:22">
      <c r="A20" s="76" t="s">
        <v>233</v>
      </c>
      <c r="B20" s="83">
        <v>0</v>
      </c>
      <c r="C20" s="83">
        <v>0</v>
      </c>
      <c r="D20" s="77">
        <v>1</v>
      </c>
      <c r="E20" s="77">
        <v>1</v>
      </c>
      <c r="F20" s="83">
        <v>0</v>
      </c>
      <c r="G20" s="77">
        <v>1</v>
      </c>
      <c r="H20" s="83">
        <v>0</v>
      </c>
      <c r="I20" s="77">
        <v>1</v>
      </c>
      <c r="J20" s="77">
        <v>1</v>
      </c>
      <c r="K20" s="83">
        <v>0</v>
      </c>
      <c r="L20" s="78">
        <v>5</v>
      </c>
      <c r="M20" s="67"/>
      <c r="N20" s="67" t="s">
        <v>218</v>
      </c>
      <c r="O20" s="67">
        <v>53</v>
      </c>
      <c r="P20" s="67"/>
      <c r="Q20" s="67" t="s">
        <v>234</v>
      </c>
      <c r="R20" s="67">
        <v>13</v>
      </c>
      <c r="S20" s="67"/>
      <c r="T20" s="67"/>
      <c r="U20" s="67"/>
      <c r="V20" s="67"/>
    </row>
    <row r="21" spans="1:22">
      <c r="A21" s="79" t="s">
        <v>235</v>
      </c>
      <c r="B21" s="81">
        <v>1</v>
      </c>
      <c r="C21" s="81">
        <v>1</v>
      </c>
      <c r="D21" s="80">
        <v>0</v>
      </c>
      <c r="E21" s="80">
        <v>0</v>
      </c>
      <c r="F21" s="81">
        <v>1</v>
      </c>
      <c r="G21" s="80">
        <v>0</v>
      </c>
      <c r="H21" s="80">
        <v>0</v>
      </c>
      <c r="I21" s="80">
        <v>0</v>
      </c>
      <c r="J21" s="80">
        <v>0</v>
      </c>
      <c r="K21" s="81">
        <v>1</v>
      </c>
      <c r="L21" s="82">
        <v>4</v>
      </c>
      <c r="M21" s="67"/>
      <c r="N21" s="67" t="s">
        <v>219</v>
      </c>
      <c r="O21" s="67">
        <v>50</v>
      </c>
      <c r="P21" s="67"/>
      <c r="Q21" s="67" t="s">
        <v>236</v>
      </c>
      <c r="R21" s="67">
        <v>13</v>
      </c>
      <c r="S21" s="67"/>
      <c r="T21" s="67"/>
      <c r="U21" s="67"/>
      <c r="V21" s="67"/>
    </row>
    <row r="22" spans="1:22">
      <c r="A22" s="76" t="s">
        <v>237</v>
      </c>
      <c r="B22" s="77">
        <v>1</v>
      </c>
      <c r="C22" s="77">
        <v>1</v>
      </c>
      <c r="D22" s="77">
        <v>1</v>
      </c>
      <c r="E22" s="77">
        <v>1</v>
      </c>
      <c r="F22" s="77">
        <v>1</v>
      </c>
      <c r="G22" s="77">
        <v>1</v>
      </c>
      <c r="H22" s="77">
        <v>1</v>
      </c>
      <c r="I22" s="77">
        <v>1</v>
      </c>
      <c r="J22" s="77">
        <v>1</v>
      </c>
      <c r="K22" s="77">
        <v>1</v>
      </c>
      <c r="L22" s="78">
        <v>10</v>
      </c>
      <c r="M22" s="67"/>
      <c r="N22" s="67" t="s">
        <v>220</v>
      </c>
      <c r="O22" s="67">
        <v>46</v>
      </c>
      <c r="P22" s="67"/>
      <c r="Q22" s="67" t="s">
        <v>238</v>
      </c>
      <c r="R22" s="67">
        <v>12</v>
      </c>
      <c r="S22" s="67"/>
      <c r="T22" s="67"/>
      <c r="U22" s="67"/>
      <c r="V22" s="67"/>
    </row>
    <row r="23" spans="1:22">
      <c r="A23" s="79" t="s">
        <v>232</v>
      </c>
      <c r="B23" s="84">
        <v>2</v>
      </c>
      <c r="C23" s="81">
        <v>1</v>
      </c>
      <c r="D23" s="84">
        <v>2</v>
      </c>
      <c r="E23" s="84">
        <v>2</v>
      </c>
      <c r="F23" s="81">
        <v>1</v>
      </c>
      <c r="G23" s="84">
        <v>2</v>
      </c>
      <c r="H23" s="81">
        <v>1</v>
      </c>
      <c r="I23" s="81">
        <v>1</v>
      </c>
      <c r="J23" s="81">
        <v>1</v>
      </c>
      <c r="K23" s="81">
        <v>1</v>
      </c>
      <c r="L23" s="82">
        <v>14</v>
      </c>
      <c r="M23" s="67"/>
      <c r="N23" s="67" t="s">
        <v>221</v>
      </c>
      <c r="O23" s="67">
        <v>46</v>
      </c>
      <c r="P23" s="67"/>
      <c r="Q23" s="67" t="s">
        <v>239</v>
      </c>
      <c r="R23" s="67">
        <v>11</v>
      </c>
      <c r="S23" s="67"/>
      <c r="T23" s="67"/>
      <c r="U23" s="67"/>
      <c r="V23" s="67"/>
    </row>
    <row r="24" spans="1:22">
      <c r="A24" s="76" t="s">
        <v>240</v>
      </c>
      <c r="B24" s="77">
        <v>1</v>
      </c>
      <c r="C24" s="77">
        <v>1</v>
      </c>
      <c r="D24" s="77">
        <v>1</v>
      </c>
      <c r="E24" s="77">
        <v>1</v>
      </c>
      <c r="F24" s="83">
        <v>0</v>
      </c>
      <c r="G24" s="83">
        <v>0</v>
      </c>
      <c r="H24" s="77">
        <v>1</v>
      </c>
      <c r="I24" s="77">
        <v>1</v>
      </c>
      <c r="J24" s="77">
        <v>1</v>
      </c>
      <c r="K24" s="83">
        <v>0</v>
      </c>
      <c r="L24" s="78">
        <v>7</v>
      </c>
      <c r="M24" s="67"/>
      <c r="N24" s="67" t="s">
        <v>222</v>
      </c>
      <c r="O24" s="67">
        <v>43</v>
      </c>
      <c r="P24" s="67"/>
      <c r="Q24" s="67" t="s">
        <v>241</v>
      </c>
      <c r="R24" s="67">
        <v>11</v>
      </c>
      <c r="S24" s="67"/>
      <c r="T24" s="67"/>
      <c r="U24" s="67"/>
      <c r="V24" s="67"/>
    </row>
    <row r="25" spans="1:22">
      <c r="A25" s="79" t="s">
        <v>242</v>
      </c>
      <c r="B25" s="81">
        <v>1</v>
      </c>
      <c r="C25" s="80">
        <v>0</v>
      </c>
      <c r="D25" s="81">
        <v>1</v>
      </c>
      <c r="E25" s="81">
        <v>1</v>
      </c>
      <c r="F25" s="81">
        <v>1</v>
      </c>
      <c r="G25" s="81">
        <v>1</v>
      </c>
      <c r="H25" s="81">
        <v>1</v>
      </c>
      <c r="I25" s="81">
        <v>1</v>
      </c>
      <c r="J25" s="81">
        <v>1</v>
      </c>
      <c r="K25" s="80">
        <v>0</v>
      </c>
      <c r="L25" s="82">
        <v>8</v>
      </c>
      <c r="M25" s="67"/>
      <c r="N25" s="67" t="s">
        <v>223</v>
      </c>
      <c r="O25" s="67">
        <v>57</v>
      </c>
      <c r="P25" s="67"/>
      <c r="Q25" s="67" t="s">
        <v>243</v>
      </c>
      <c r="R25" s="67">
        <v>11</v>
      </c>
      <c r="S25" s="67"/>
      <c r="T25" s="67"/>
      <c r="U25" s="67"/>
      <c r="V25" s="67"/>
    </row>
    <row r="26" spans="1:22">
      <c r="A26" s="76" t="s">
        <v>244</v>
      </c>
      <c r="B26" s="77">
        <v>1</v>
      </c>
      <c r="C26" s="77">
        <v>1</v>
      </c>
      <c r="D26" s="77">
        <v>1</v>
      </c>
      <c r="E26" s="77">
        <v>1</v>
      </c>
      <c r="F26" s="77">
        <v>1</v>
      </c>
      <c r="G26" s="83">
        <v>0</v>
      </c>
      <c r="H26" s="83">
        <v>0</v>
      </c>
      <c r="I26" s="77">
        <v>1</v>
      </c>
      <c r="J26" s="77">
        <v>1</v>
      </c>
      <c r="K26" s="77">
        <v>1</v>
      </c>
      <c r="L26" s="78">
        <v>8</v>
      </c>
      <c r="M26" s="67"/>
      <c r="N26" s="67" t="s">
        <v>224</v>
      </c>
      <c r="O26" s="67">
        <v>40</v>
      </c>
      <c r="P26" s="67"/>
      <c r="Q26" s="67" t="s">
        <v>245</v>
      </c>
      <c r="R26" s="67">
        <v>11</v>
      </c>
      <c r="S26" s="67"/>
      <c r="T26" s="67"/>
      <c r="U26" s="67"/>
      <c r="V26" s="67"/>
    </row>
    <row r="27" spans="1:22">
      <c r="A27" s="79" t="s">
        <v>239</v>
      </c>
      <c r="B27" s="81">
        <v>1</v>
      </c>
      <c r="C27" s="81">
        <v>1</v>
      </c>
      <c r="D27" s="81">
        <v>1</v>
      </c>
      <c r="E27" s="81">
        <v>1</v>
      </c>
      <c r="F27" s="81">
        <v>1</v>
      </c>
      <c r="G27" s="84">
        <v>2</v>
      </c>
      <c r="H27" s="81">
        <v>1</v>
      </c>
      <c r="I27" s="81">
        <v>1</v>
      </c>
      <c r="J27" s="81">
        <v>1</v>
      </c>
      <c r="K27" s="81">
        <v>1</v>
      </c>
      <c r="L27" s="82">
        <v>11</v>
      </c>
      <c r="M27" s="67"/>
      <c r="N27" s="67" t="s">
        <v>225</v>
      </c>
      <c r="O27" s="67">
        <v>28</v>
      </c>
      <c r="P27" s="67"/>
      <c r="Q27" s="67" t="s">
        <v>229</v>
      </c>
      <c r="R27" s="67">
        <v>10</v>
      </c>
      <c r="S27" s="67"/>
      <c r="T27" s="67"/>
      <c r="U27" s="67"/>
      <c r="V27" s="67"/>
    </row>
    <row r="28" spans="1:22">
      <c r="A28" s="76" t="s">
        <v>246</v>
      </c>
      <c r="B28" s="77">
        <v>1</v>
      </c>
      <c r="C28" s="77">
        <v>1</v>
      </c>
      <c r="D28" s="77">
        <v>1</v>
      </c>
      <c r="E28" s="77">
        <v>1</v>
      </c>
      <c r="F28" s="77">
        <v>1</v>
      </c>
      <c r="G28" s="77">
        <v>1</v>
      </c>
      <c r="H28" s="77">
        <v>1</v>
      </c>
      <c r="I28" s="83">
        <v>0</v>
      </c>
      <c r="J28" s="83">
        <v>0</v>
      </c>
      <c r="K28" s="83">
        <v>0</v>
      </c>
      <c r="L28" s="78">
        <v>7</v>
      </c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 spans="1:22">
      <c r="A29" s="79" t="s">
        <v>247</v>
      </c>
      <c r="B29" s="80">
        <v>0</v>
      </c>
      <c r="C29" s="80">
        <v>0</v>
      </c>
      <c r="D29" s="80">
        <v>0</v>
      </c>
      <c r="E29" s="80">
        <v>0</v>
      </c>
      <c r="F29" s="80">
        <v>0</v>
      </c>
      <c r="G29" s="80">
        <v>0</v>
      </c>
      <c r="H29" s="80">
        <v>0</v>
      </c>
      <c r="I29" s="81">
        <v>1</v>
      </c>
      <c r="J29" s="81">
        <v>1</v>
      </c>
      <c r="K29" s="80">
        <v>0</v>
      </c>
      <c r="L29" s="82">
        <v>2</v>
      </c>
      <c r="M29" s="67"/>
      <c r="N29" s="33"/>
      <c r="O29" s="67"/>
      <c r="P29" s="67"/>
      <c r="Q29" s="67"/>
      <c r="R29" s="67"/>
      <c r="S29" s="67"/>
      <c r="T29" s="67"/>
      <c r="U29" s="67"/>
      <c r="V29" s="67"/>
    </row>
    <row r="30" spans="1:22">
      <c r="A30" s="76" t="s">
        <v>248</v>
      </c>
      <c r="B30" s="77">
        <v>1</v>
      </c>
      <c r="C30" s="77">
        <v>1</v>
      </c>
      <c r="D30" s="77">
        <v>1</v>
      </c>
      <c r="E30" s="77">
        <v>1</v>
      </c>
      <c r="F30" s="77">
        <v>1</v>
      </c>
      <c r="G30" s="77">
        <v>1</v>
      </c>
      <c r="H30" s="77">
        <v>1</v>
      </c>
      <c r="I30" s="77">
        <v>1</v>
      </c>
      <c r="J30" s="77">
        <v>1</v>
      </c>
      <c r="K30" s="77">
        <v>1</v>
      </c>
      <c r="L30" s="78">
        <v>10</v>
      </c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>
      <c r="A31" s="79" t="s">
        <v>249</v>
      </c>
      <c r="B31" s="80">
        <v>0</v>
      </c>
      <c r="C31" s="80">
        <v>0</v>
      </c>
      <c r="D31" s="85">
        <v>3</v>
      </c>
      <c r="E31" s="84">
        <v>2</v>
      </c>
      <c r="F31" s="84">
        <v>2</v>
      </c>
      <c r="G31" s="84">
        <v>2</v>
      </c>
      <c r="H31" s="80">
        <v>0</v>
      </c>
      <c r="I31" s="80">
        <v>0</v>
      </c>
      <c r="J31" s="80">
        <v>0</v>
      </c>
      <c r="K31" s="80">
        <v>0</v>
      </c>
      <c r="L31" s="82">
        <v>9</v>
      </c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 spans="1:22">
      <c r="A32" s="76" t="s">
        <v>250</v>
      </c>
      <c r="B32" s="86">
        <v>2</v>
      </c>
      <c r="C32" s="83">
        <v>0</v>
      </c>
      <c r="D32" s="83">
        <v>0</v>
      </c>
      <c r="E32" s="83">
        <v>0</v>
      </c>
      <c r="F32" s="83">
        <v>0</v>
      </c>
      <c r="G32" s="83">
        <v>0</v>
      </c>
      <c r="H32" s="77">
        <v>1</v>
      </c>
      <c r="I32" s="86">
        <v>2</v>
      </c>
      <c r="J32" s="77">
        <v>1</v>
      </c>
      <c r="K32" s="83">
        <v>0</v>
      </c>
      <c r="L32" s="78">
        <v>6</v>
      </c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 spans="1:22">
      <c r="A33" s="79" t="s">
        <v>251</v>
      </c>
      <c r="B33" s="80">
        <v>0</v>
      </c>
      <c r="C33" s="84">
        <v>2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2">
        <v>2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 spans="1:22">
      <c r="A34" s="76" t="s">
        <v>241</v>
      </c>
      <c r="B34" s="86">
        <v>2</v>
      </c>
      <c r="C34" s="77">
        <v>1</v>
      </c>
      <c r="D34" s="86">
        <v>2</v>
      </c>
      <c r="E34" s="77">
        <v>1</v>
      </c>
      <c r="F34" s="77">
        <v>1</v>
      </c>
      <c r="G34" s="83">
        <v>0</v>
      </c>
      <c r="H34" s="77">
        <v>1</v>
      </c>
      <c r="I34" s="77">
        <v>1</v>
      </c>
      <c r="J34" s="77">
        <v>1</v>
      </c>
      <c r="K34" s="77">
        <v>1</v>
      </c>
      <c r="L34" s="78">
        <v>11</v>
      </c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 spans="1:22">
      <c r="A35" s="79" t="s">
        <v>252</v>
      </c>
      <c r="B35" s="80">
        <v>0</v>
      </c>
      <c r="C35" s="80">
        <v>0</v>
      </c>
      <c r="D35" s="80">
        <v>0</v>
      </c>
      <c r="E35" s="80">
        <v>0</v>
      </c>
      <c r="F35" s="80">
        <v>0</v>
      </c>
      <c r="G35" s="81">
        <v>1</v>
      </c>
      <c r="H35" s="80">
        <v>0</v>
      </c>
      <c r="I35" s="80">
        <v>0</v>
      </c>
      <c r="J35" s="80">
        <v>0</v>
      </c>
      <c r="K35" s="80">
        <v>0</v>
      </c>
      <c r="L35" s="82">
        <v>1</v>
      </c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 spans="1:22">
      <c r="A36" s="76" t="s">
        <v>253</v>
      </c>
      <c r="B36" s="83">
        <v>0</v>
      </c>
      <c r="C36" s="83">
        <v>0</v>
      </c>
      <c r="D36" s="83">
        <v>0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78">
        <v>0</v>
      </c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 spans="1:22">
      <c r="A37" s="79" t="s">
        <v>254</v>
      </c>
      <c r="B37" s="80">
        <v>0</v>
      </c>
      <c r="C37" s="80">
        <v>0</v>
      </c>
      <c r="D37" s="80">
        <v>0</v>
      </c>
      <c r="E37" s="80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82">
        <v>0</v>
      </c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 spans="1:22">
      <c r="A38" s="76" t="s">
        <v>255</v>
      </c>
      <c r="B38" s="83">
        <v>0</v>
      </c>
      <c r="C38" s="83">
        <v>0</v>
      </c>
      <c r="D38" s="83">
        <v>0</v>
      </c>
      <c r="E38" s="83">
        <v>0</v>
      </c>
      <c r="F38" s="83">
        <v>0</v>
      </c>
      <c r="G38" s="83">
        <v>0</v>
      </c>
      <c r="H38" s="83">
        <v>0</v>
      </c>
      <c r="I38" s="77">
        <v>1</v>
      </c>
      <c r="J38" s="83">
        <v>0</v>
      </c>
      <c r="K38" s="77">
        <v>1</v>
      </c>
      <c r="L38" s="78">
        <v>2</v>
      </c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 spans="1:22">
      <c r="A39" s="79" t="s">
        <v>256</v>
      </c>
      <c r="B39" s="80">
        <v>0</v>
      </c>
      <c r="C39" s="80">
        <v>0</v>
      </c>
      <c r="D39" s="80">
        <v>0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2">
        <v>0</v>
      </c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 spans="1:22">
      <c r="A40" s="76" t="s">
        <v>257</v>
      </c>
      <c r="B40" s="77">
        <v>1</v>
      </c>
      <c r="C40" s="77">
        <v>1</v>
      </c>
      <c r="D40" s="77">
        <v>1</v>
      </c>
      <c r="E40" s="77">
        <v>1</v>
      </c>
      <c r="F40" s="77">
        <v>1</v>
      </c>
      <c r="G40" s="77">
        <v>1</v>
      </c>
      <c r="H40" s="77">
        <v>1</v>
      </c>
      <c r="I40" s="77">
        <v>1</v>
      </c>
      <c r="J40" s="77">
        <v>1</v>
      </c>
      <c r="K40" s="77">
        <v>1</v>
      </c>
      <c r="L40" s="78">
        <v>10</v>
      </c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spans="1:22">
      <c r="A41" s="79" t="s">
        <v>258</v>
      </c>
      <c r="B41" s="81">
        <v>1</v>
      </c>
      <c r="C41" s="81">
        <v>1</v>
      </c>
      <c r="D41" s="81">
        <v>1</v>
      </c>
      <c r="E41" s="81">
        <v>1</v>
      </c>
      <c r="F41" s="80">
        <v>0</v>
      </c>
      <c r="G41" s="81">
        <v>1</v>
      </c>
      <c r="H41" s="81">
        <v>1</v>
      </c>
      <c r="I41" s="81">
        <v>1</v>
      </c>
      <c r="J41" s="81">
        <v>1</v>
      </c>
      <c r="K41" s="81">
        <v>1</v>
      </c>
      <c r="L41" s="82">
        <v>9</v>
      </c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 spans="1:22">
      <c r="A42" s="76" t="s">
        <v>259</v>
      </c>
      <c r="B42" s="83">
        <v>0</v>
      </c>
      <c r="C42" s="83">
        <v>0</v>
      </c>
      <c r="D42" s="83">
        <v>0</v>
      </c>
      <c r="E42" s="83">
        <v>0</v>
      </c>
      <c r="F42" s="83">
        <v>0</v>
      </c>
      <c r="G42" s="83">
        <v>0</v>
      </c>
      <c r="H42" s="83">
        <v>0</v>
      </c>
      <c r="I42" s="77">
        <v>1</v>
      </c>
      <c r="J42" s="77">
        <v>1</v>
      </c>
      <c r="K42" s="77">
        <v>1</v>
      </c>
      <c r="L42" s="78">
        <v>3</v>
      </c>
      <c r="M42" s="67"/>
      <c r="N42" s="67"/>
      <c r="O42" s="67"/>
      <c r="P42" s="67"/>
      <c r="Q42" s="67"/>
      <c r="R42" s="67"/>
      <c r="S42" s="67"/>
      <c r="T42" s="67"/>
      <c r="U42" s="67"/>
      <c r="V42" s="67"/>
    </row>
    <row r="43" spans="1:22">
      <c r="A43" s="79" t="s">
        <v>260</v>
      </c>
      <c r="B43" s="80">
        <v>0</v>
      </c>
      <c r="C43" s="81">
        <v>1</v>
      </c>
      <c r="D43" s="80">
        <v>0</v>
      </c>
      <c r="E43" s="80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>
        <v>0</v>
      </c>
      <c r="L43" s="82">
        <v>1</v>
      </c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spans="1:22">
      <c r="A44" s="76" t="s">
        <v>261</v>
      </c>
      <c r="B44" s="77">
        <v>1</v>
      </c>
      <c r="C44" s="83">
        <v>0</v>
      </c>
      <c r="D44" s="77">
        <v>1</v>
      </c>
      <c r="E44" s="77">
        <v>1</v>
      </c>
      <c r="F44" s="77">
        <v>1</v>
      </c>
      <c r="G44" s="77">
        <v>1</v>
      </c>
      <c r="H44" s="77">
        <v>1</v>
      </c>
      <c r="I44" s="77">
        <v>1</v>
      </c>
      <c r="J44" s="77">
        <v>1</v>
      </c>
      <c r="K44" s="83">
        <v>0</v>
      </c>
      <c r="L44" s="78">
        <v>8</v>
      </c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 spans="1:22">
      <c r="A45" s="79" t="s">
        <v>262</v>
      </c>
      <c r="B45" s="80">
        <v>0</v>
      </c>
      <c r="C45" s="80">
        <v>0</v>
      </c>
      <c r="D45" s="80">
        <v>0</v>
      </c>
      <c r="E45" s="81">
        <v>1</v>
      </c>
      <c r="F45" s="80">
        <v>0</v>
      </c>
      <c r="G45" s="81">
        <v>1</v>
      </c>
      <c r="H45" s="81">
        <v>1</v>
      </c>
      <c r="I45" s="80">
        <v>0</v>
      </c>
      <c r="J45" s="80">
        <v>0</v>
      </c>
      <c r="K45" s="80">
        <v>0</v>
      </c>
      <c r="L45" s="82">
        <v>3</v>
      </c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 spans="1:22">
      <c r="A46" s="76" t="s">
        <v>263</v>
      </c>
      <c r="B46" s="77">
        <v>1</v>
      </c>
      <c r="C46" s="77">
        <v>1</v>
      </c>
      <c r="D46" s="77">
        <v>1</v>
      </c>
      <c r="E46" s="83">
        <v>0</v>
      </c>
      <c r="F46" s="77">
        <v>1</v>
      </c>
      <c r="G46" s="83">
        <v>0</v>
      </c>
      <c r="H46" s="83">
        <v>0</v>
      </c>
      <c r="I46" s="77">
        <v>1</v>
      </c>
      <c r="J46" s="77">
        <v>1</v>
      </c>
      <c r="K46" s="83">
        <v>0</v>
      </c>
      <c r="L46" s="78">
        <v>6</v>
      </c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 spans="1:22">
      <c r="A47" s="79" t="s">
        <v>264</v>
      </c>
      <c r="B47" s="81">
        <v>1</v>
      </c>
      <c r="C47" s="81">
        <v>1</v>
      </c>
      <c r="D47" s="81">
        <v>1</v>
      </c>
      <c r="E47" s="81">
        <v>1</v>
      </c>
      <c r="F47" s="81">
        <v>1</v>
      </c>
      <c r="G47" s="81">
        <v>1</v>
      </c>
      <c r="H47" s="81">
        <v>1</v>
      </c>
      <c r="I47" s="81">
        <v>1</v>
      </c>
      <c r="J47" s="81">
        <v>1</v>
      </c>
      <c r="K47" s="81">
        <v>1</v>
      </c>
      <c r="L47" s="82">
        <v>10</v>
      </c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 spans="1:22">
      <c r="A48" s="76" t="s">
        <v>265</v>
      </c>
      <c r="B48" s="77">
        <v>1</v>
      </c>
      <c r="C48" s="77">
        <v>1</v>
      </c>
      <c r="D48" s="77">
        <v>1</v>
      </c>
      <c r="E48" s="77">
        <v>1</v>
      </c>
      <c r="F48" s="83">
        <v>0</v>
      </c>
      <c r="G48" s="77">
        <v>1</v>
      </c>
      <c r="H48" s="77">
        <v>1</v>
      </c>
      <c r="I48" s="77">
        <v>1</v>
      </c>
      <c r="J48" s="77">
        <v>1</v>
      </c>
      <c r="K48" s="77">
        <v>1</v>
      </c>
      <c r="L48" s="78">
        <v>9</v>
      </c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 spans="1:22">
      <c r="A49" s="79" t="s">
        <v>266</v>
      </c>
      <c r="B49" s="81">
        <v>1</v>
      </c>
      <c r="C49" s="81">
        <v>1</v>
      </c>
      <c r="D49" s="81">
        <v>1</v>
      </c>
      <c r="E49" s="81">
        <v>1</v>
      </c>
      <c r="F49" s="81">
        <v>1</v>
      </c>
      <c r="G49" s="81">
        <v>1</v>
      </c>
      <c r="H49" s="81">
        <v>1</v>
      </c>
      <c r="I49" s="81">
        <v>1</v>
      </c>
      <c r="J49" s="81">
        <v>1</v>
      </c>
      <c r="K49" s="81">
        <v>1</v>
      </c>
      <c r="L49" s="82">
        <v>10</v>
      </c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 spans="1:22">
      <c r="A50" s="76" t="s">
        <v>267</v>
      </c>
      <c r="B50" s="77">
        <v>1</v>
      </c>
      <c r="C50" s="77">
        <v>1</v>
      </c>
      <c r="D50" s="77">
        <v>1</v>
      </c>
      <c r="E50" s="77">
        <v>1</v>
      </c>
      <c r="F50" s="77">
        <v>1</v>
      </c>
      <c r="G50" s="77">
        <v>1</v>
      </c>
      <c r="H50" s="77">
        <v>1</v>
      </c>
      <c r="I50" s="77">
        <v>1</v>
      </c>
      <c r="J50" s="77">
        <v>1</v>
      </c>
      <c r="K50" s="77">
        <v>1</v>
      </c>
      <c r="L50" s="78">
        <v>10</v>
      </c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 spans="1:22">
      <c r="A51" s="79" t="s">
        <v>268</v>
      </c>
      <c r="B51" s="81">
        <v>1</v>
      </c>
      <c r="C51" s="81">
        <v>1</v>
      </c>
      <c r="D51" s="81">
        <v>1</v>
      </c>
      <c r="E51" s="81">
        <v>1</v>
      </c>
      <c r="F51" s="81">
        <v>1</v>
      </c>
      <c r="G51" s="81">
        <v>1</v>
      </c>
      <c r="H51" s="81">
        <v>1</v>
      </c>
      <c r="I51" s="81">
        <v>1</v>
      </c>
      <c r="J51" s="81">
        <v>1</v>
      </c>
      <c r="K51" s="80">
        <v>0</v>
      </c>
      <c r="L51" s="82">
        <v>9</v>
      </c>
      <c r="M51" s="67"/>
      <c r="N51" s="67"/>
      <c r="O51" s="67"/>
      <c r="P51" s="67"/>
      <c r="Q51" s="67"/>
      <c r="R51" s="67"/>
      <c r="S51" s="67"/>
      <c r="T51" s="67"/>
      <c r="U51" s="67"/>
      <c r="V51" s="67"/>
    </row>
    <row r="52" spans="1:22">
      <c r="A52" s="76" t="s">
        <v>269</v>
      </c>
      <c r="B52" s="77">
        <v>1</v>
      </c>
      <c r="C52" s="77">
        <v>1</v>
      </c>
      <c r="D52" s="77">
        <v>1</v>
      </c>
      <c r="E52" s="77">
        <v>1</v>
      </c>
      <c r="F52" s="77">
        <v>1</v>
      </c>
      <c r="G52" s="77">
        <v>1</v>
      </c>
      <c r="H52" s="77">
        <v>1</v>
      </c>
      <c r="I52" s="77">
        <v>1</v>
      </c>
      <c r="J52" s="77">
        <v>1</v>
      </c>
      <c r="K52" s="83">
        <v>0</v>
      </c>
      <c r="L52" s="78">
        <v>9</v>
      </c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 spans="1:22">
      <c r="A53" s="79" t="s">
        <v>270</v>
      </c>
      <c r="B53" s="81">
        <v>1</v>
      </c>
      <c r="C53" s="81">
        <v>1</v>
      </c>
      <c r="D53" s="81">
        <v>1</v>
      </c>
      <c r="E53" s="81">
        <v>1</v>
      </c>
      <c r="F53" s="81">
        <v>1</v>
      </c>
      <c r="G53" s="81">
        <v>1</v>
      </c>
      <c r="H53" s="81">
        <v>1</v>
      </c>
      <c r="I53" s="81">
        <v>1</v>
      </c>
      <c r="J53" s="81">
        <v>1</v>
      </c>
      <c r="K53" s="81">
        <v>1</v>
      </c>
      <c r="L53" s="82">
        <v>10</v>
      </c>
      <c r="M53" s="67"/>
      <c r="N53" s="67"/>
      <c r="O53" s="67"/>
      <c r="P53" s="67"/>
      <c r="Q53" s="67"/>
      <c r="R53" s="67"/>
      <c r="S53" s="67"/>
      <c r="T53" s="67"/>
      <c r="U53" s="67"/>
      <c r="V53" s="67"/>
    </row>
    <row r="54" spans="1:22">
      <c r="A54" s="76" t="s">
        <v>271</v>
      </c>
      <c r="B54" s="77">
        <v>1</v>
      </c>
      <c r="C54" s="77">
        <v>1</v>
      </c>
      <c r="D54" s="77">
        <v>1</v>
      </c>
      <c r="E54" s="77">
        <v>1</v>
      </c>
      <c r="F54" s="77">
        <v>1</v>
      </c>
      <c r="G54" s="77">
        <v>1</v>
      </c>
      <c r="H54" s="77">
        <v>1</v>
      </c>
      <c r="I54" s="77">
        <v>1</v>
      </c>
      <c r="J54" s="77">
        <v>1</v>
      </c>
      <c r="K54" s="83">
        <v>0</v>
      </c>
      <c r="L54" s="78">
        <v>9</v>
      </c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 spans="1:22">
      <c r="A55" s="79" t="s">
        <v>272</v>
      </c>
      <c r="B55" s="81">
        <v>1</v>
      </c>
      <c r="C55" s="80">
        <v>0</v>
      </c>
      <c r="D55" s="81">
        <v>1</v>
      </c>
      <c r="E55" s="81">
        <v>1</v>
      </c>
      <c r="F55" s="81">
        <v>1</v>
      </c>
      <c r="G55" s="81">
        <v>1</v>
      </c>
      <c r="H55" s="81">
        <v>1</v>
      </c>
      <c r="I55" s="81">
        <v>1</v>
      </c>
      <c r="J55" s="80">
        <v>0</v>
      </c>
      <c r="K55" s="80">
        <v>0</v>
      </c>
      <c r="L55" s="82">
        <v>7</v>
      </c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 spans="1:22">
      <c r="A56" s="76" t="s">
        <v>273</v>
      </c>
      <c r="B56" s="77">
        <v>1</v>
      </c>
      <c r="C56" s="77">
        <v>1</v>
      </c>
      <c r="D56" s="86">
        <v>2</v>
      </c>
      <c r="E56" s="86">
        <v>2</v>
      </c>
      <c r="F56" s="77">
        <v>1</v>
      </c>
      <c r="G56" s="86">
        <v>2</v>
      </c>
      <c r="H56" s="77">
        <v>1</v>
      </c>
      <c r="I56" s="83">
        <v>0</v>
      </c>
      <c r="J56" s="83">
        <v>0</v>
      </c>
      <c r="K56" s="83">
        <v>0</v>
      </c>
      <c r="L56" s="78">
        <v>10</v>
      </c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 spans="1:22">
      <c r="A57" s="79" t="s">
        <v>243</v>
      </c>
      <c r="B57" s="81">
        <v>1</v>
      </c>
      <c r="C57" s="81">
        <v>1</v>
      </c>
      <c r="D57" s="84">
        <v>2</v>
      </c>
      <c r="E57" s="81">
        <v>1</v>
      </c>
      <c r="F57" s="81">
        <v>1</v>
      </c>
      <c r="G57" s="81">
        <v>1</v>
      </c>
      <c r="H57" s="81">
        <v>1</v>
      </c>
      <c r="I57" s="81">
        <v>1</v>
      </c>
      <c r="J57" s="81">
        <v>1</v>
      </c>
      <c r="K57" s="81">
        <v>1</v>
      </c>
      <c r="L57" s="82">
        <v>11</v>
      </c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 spans="1:22">
      <c r="A58" s="76" t="s">
        <v>234</v>
      </c>
      <c r="B58" s="86">
        <v>2</v>
      </c>
      <c r="C58" s="77">
        <v>1</v>
      </c>
      <c r="D58" s="86">
        <v>2</v>
      </c>
      <c r="E58" s="83">
        <v>0</v>
      </c>
      <c r="F58" s="77">
        <v>1</v>
      </c>
      <c r="G58" s="86">
        <v>2</v>
      </c>
      <c r="H58" s="77">
        <v>1</v>
      </c>
      <c r="I58" s="86">
        <v>2</v>
      </c>
      <c r="J58" s="77">
        <v>1</v>
      </c>
      <c r="K58" s="77">
        <v>1</v>
      </c>
      <c r="L58" s="78">
        <v>13</v>
      </c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 spans="1:22">
      <c r="A59" s="79" t="s">
        <v>274</v>
      </c>
      <c r="B59" s="80">
        <v>0</v>
      </c>
      <c r="C59" s="80">
        <v>0</v>
      </c>
      <c r="D59" s="80">
        <v>0</v>
      </c>
      <c r="E59" s="81">
        <v>1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2">
        <v>1</v>
      </c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 spans="1:22">
      <c r="A60" s="76" t="s">
        <v>275</v>
      </c>
      <c r="B60" s="77">
        <v>1</v>
      </c>
      <c r="C60" s="77">
        <v>1</v>
      </c>
      <c r="D60" s="83">
        <v>0</v>
      </c>
      <c r="E60" s="77">
        <v>1</v>
      </c>
      <c r="F60" s="77">
        <v>1</v>
      </c>
      <c r="G60" s="83">
        <v>0</v>
      </c>
      <c r="H60" s="77">
        <v>1</v>
      </c>
      <c r="I60" s="77">
        <v>1</v>
      </c>
      <c r="J60" s="77">
        <v>1</v>
      </c>
      <c r="K60" s="83">
        <v>0</v>
      </c>
      <c r="L60" s="78">
        <v>7</v>
      </c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 spans="1:22">
      <c r="A61" s="79" t="s">
        <v>230</v>
      </c>
      <c r="B61" s="81">
        <v>1</v>
      </c>
      <c r="C61" s="81">
        <v>1</v>
      </c>
      <c r="D61" s="81">
        <v>1</v>
      </c>
      <c r="E61" s="81">
        <v>1</v>
      </c>
      <c r="F61" s="81">
        <v>1</v>
      </c>
      <c r="G61" s="81">
        <v>1</v>
      </c>
      <c r="H61" s="81">
        <v>1</v>
      </c>
      <c r="I61" s="87">
        <v>9</v>
      </c>
      <c r="J61" s="80">
        <v>0</v>
      </c>
      <c r="K61" s="81">
        <v>1</v>
      </c>
      <c r="L61" s="82">
        <v>17</v>
      </c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 spans="1:22">
      <c r="A62" s="76" t="s">
        <v>276</v>
      </c>
      <c r="B62" s="83">
        <v>0</v>
      </c>
      <c r="C62" s="83">
        <v>0</v>
      </c>
      <c r="D62" s="83">
        <v>0</v>
      </c>
      <c r="E62" s="77">
        <v>1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78">
        <v>1</v>
      </c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 spans="1:22">
      <c r="A63" s="79" t="s">
        <v>277</v>
      </c>
      <c r="B63" s="81">
        <v>1</v>
      </c>
      <c r="C63" s="81">
        <v>1</v>
      </c>
      <c r="D63" s="81">
        <v>1</v>
      </c>
      <c r="E63" s="80">
        <v>0</v>
      </c>
      <c r="F63" s="81">
        <v>1</v>
      </c>
      <c r="G63" s="80">
        <v>0</v>
      </c>
      <c r="H63" s="81">
        <v>1</v>
      </c>
      <c r="I63" s="81">
        <v>1</v>
      </c>
      <c r="J63" s="80">
        <v>0</v>
      </c>
      <c r="K63" s="81">
        <v>1</v>
      </c>
      <c r="L63" s="82">
        <v>7</v>
      </c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 spans="1:22">
      <c r="A64" s="76" t="s">
        <v>278</v>
      </c>
      <c r="B64" s="83">
        <v>0</v>
      </c>
      <c r="C64" s="77">
        <v>1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77">
        <v>1</v>
      </c>
      <c r="J64" s="83">
        <v>0</v>
      </c>
      <c r="K64" s="77">
        <v>1</v>
      </c>
      <c r="L64" s="78">
        <v>3</v>
      </c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 spans="1:22">
      <c r="A65" s="79" t="s">
        <v>236</v>
      </c>
      <c r="B65" s="84">
        <v>2</v>
      </c>
      <c r="C65" s="81">
        <v>1</v>
      </c>
      <c r="D65" s="84">
        <v>2</v>
      </c>
      <c r="E65" s="84">
        <v>2</v>
      </c>
      <c r="F65" s="81">
        <v>1</v>
      </c>
      <c r="G65" s="81">
        <v>1</v>
      </c>
      <c r="H65" s="81">
        <v>1</v>
      </c>
      <c r="I65" s="81">
        <v>1</v>
      </c>
      <c r="J65" s="81">
        <v>1</v>
      </c>
      <c r="K65" s="81">
        <v>1</v>
      </c>
      <c r="L65" s="82">
        <v>13</v>
      </c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 spans="1:22">
      <c r="A66" s="76" t="s">
        <v>279</v>
      </c>
      <c r="B66" s="77">
        <v>1</v>
      </c>
      <c r="C66" s="77">
        <v>1</v>
      </c>
      <c r="D66" s="77">
        <v>1</v>
      </c>
      <c r="E66" s="77">
        <v>1</v>
      </c>
      <c r="F66" s="77">
        <v>1</v>
      </c>
      <c r="G66" s="77">
        <v>1</v>
      </c>
      <c r="H66" s="77">
        <v>1</v>
      </c>
      <c r="I66" s="77">
        <v>1</v>
      </c>
      <c r="J66" s="77">
        <v>1</v>
      </c>
      <c r="K66" s="77">
        <v>1</v>
      </c>
      <c r="L66" s="78">
        <v>10</v>
      </c>
      <c r="M66" s="67"/>
      <c r="N66" s="67"/>
      <c r="O66" s="67"/>
      <c r="P66" s="67"/>
      <c r="Q66" s="67"/>
      <c r="R66" s="67"/>
      <c r="S66" s="67"/>
      <c r="T66" s="67"/>
      <c r="U66" s="67"/>
      <c r="V66" s="67"/>
    </row>
    <row r="67" spans="1:22">
      <c r="A67" s="79" t="s">
        <v>280</v>
      </c>
      <c r="B67" s="81">
        <v>1</v>
      </c>
      <c r="C67" s="81">
        <v>1</v>
      </c>
      <c r="D67" s="81">
        <v>1</v>
      </c>
      <c r="E67" s="81">
        <v>1</v>
      </c>
      <c r="F67" s="81">
        <v>1</v>
      </c>
      <c r="G67" s="81">
        <v>1</v>
      </c>
      <c r="H67" s="81">
        <v>1</v>
      </c>
      <c r="I67" s="81">
        <v>1</v>
      </c>
      <c r="J67" s="84">
        <v>2</v>
      </c>
      <c r="K67" s="80">
        <v>0</v>
      </c>
      <c r="L67" s="82">
        <v>10</v>
      </c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 spans="1:22">
      <c r="A68" s="76" t="s">
        <v>281</v>
      </c>
      <c r="B68" s="83">
        <v>0</v>
      </c>
      <c r="C68" s="83">
        <v>0</v>
      </c>
      <c r="D68" s="83">
        <v>0</v>
      </c>
      <c r="E68" s="77">
        <v>1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78">
        <v>1</v>
      </c>
      <c r="M68" s="67"/>
      <c r="N68" s="67"/>
      <c r="O68" s="67"/>
      <c r="P68" s="67"/>
      <c r="Q68" s="67"/>
      <c r="R68" s="67"/>
      <c r="S68" s="67"/>
      <c r="T68" s="67"/>
      <c r="U68" s="67"/>
      <c r="V68" s="67"/>
    </row>
    <row r="69" spans="1:22">
      <c r="A69" s="79" t="s">
        <v>282</v>
      </c>
      <c r="B69" s="80">
        <v>0</v>
      </c>
      <c r="C69" s="80">
        <v>0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>
        <v>0</v>
      </c>
      <c r="L69" s="82">
        <v>0</v>
      </c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 spans="1:22">
      <c r="A70" s="76" t="s">
        <v>245</v>
      </c>
      <c r="B70" s="77">
        <v>1</v>
      </c>
      <c r="C70" s="77">
        <v>1</v>
      </c>
      <c r="D70" s="77">
        <v>1</v>
      </c>
      <c r="E70" s="77">
        <v>1</v>
      </c>
      <c r="F70" s="77">
        <v>1</v>
      </c>
      <c r="G70" s="86">
        <v>2</v>
      </c>
      <c r="H70" s="77">
        <v>1</v>
      </c>
      <c r="I70" s="77">
        <v>1</v>
      </c>
      <c r="J70" s="77">
        <v>1</v>
      </c>
      <c r="K70" s="77">
        <v>1</v>
      </c>
      <c r="L70" s="78">
        <v>11</v>
      </c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 spans="1:22">
      <c r="A71" s="79" t="s">
        <v>283</v>
      </c>
      <c r="B71" s="81">
        <v>1</v>
      </c>
      <c r="C71" s="81">
        <v>1</v>
      </c>
      <c r="D71" s="81">
        <v>1</v>
      </c>
      <c r="E71" s="81">
        <v>1</v>
      </c>
      <c r="F71" s="81">
        <v>1</v>
      </c>
      <c r="G71" s="81">
        <v>1</v>
      </c>
      <c r="H71" s="81">
        <v>1</v>
      </c>
      <c r="I71" s="81">
        <v>1</v>
      </c>
      <c r="J71" s="81">
        <v>1</v>
      </c>
      <c r="K71" s="81">
        <v>1</v>
      </c>
      <c r="L71" s="82">
        <v>10</v>
      </c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 spans="1:22">
      <c r="A72" s="76" t="s">
        <v>284</v>
      </c>
      <c r="B72" s="83">
        <v>0</v>
      </c>
      <c r="C72" s="77">
        <v>1</v>
      </c>
      <c r="D72" s="77">
        <v>1</v>
      </c>
      <c r="E72" s="77">
        <v>1</v>
      </c>
      <c r="F72" s="77">
        <v>1</v>
      </c>
      <c r="G72" s="77">
        <v>1</v>
      </c>
      <c r="H72" s="77">
        <v>1</v>
      </c>
      <c r="I72" s="77">
        <v>1</v>
      </c>
      <c r="J72" s="83">
        <v>0</v>
      </c>
      <c r="K72" s="83">
        <v>0</v>
      </c>
      <c r="L72" s="78">
        <v>7</v>
      </c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 spans="1:22">
      <c r="A73" s="79" t="s">
        <v>285</v>
      </c>
      <c r="B73" s="81">
        <v>1</v>
      </c>
      <c r="C73" s="81">
        <v>1</v>
      </c>
      <c r="D73" s="81">
        <v>1</v>
      </c>
      <c r="E73" s="81">
        <v>1</v>
      </c>
      <c r="F73" s="81">
        <v>1</v>
      </c>
      <c r="G73" s="81">
        <v>1</v>
      </c>
      <c r="H73" s="81">
        <v>1</v>
      </c>
      <c r="I73" s="81">
        <v>1</v>
      </c>
      <c r="J73" s="81">
        <v>1</v>
      </c>
      <c r="K73" s="80">
        <v>0</v>
      </c>
      <c r="L73" s="82">
        <v>9</v>
      </c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 spans="1:22">
      <c r="A74" s="76" t="s">
        <v>286</v>
      </c>
      <c r="B74" s="77">
        <v>1</v>
      </c>
      <c r="C74" s="77">
        <v>1</v>
      </c>
      <c r="D74" s="77">
        <v>1</v>
      </c>
      <c r="E74" s="77">
        <v>1</v>
      </c>
      <c r="F74" s="77">
        <v>1</v>
      </c>
      <c r="G74" s="83">
        <v>0</v>
      </c>
      <c r="H74" s="77">
        <v>1</v>
      </c>
      <c r="I74" s="77">
        <v>1</v>
      </c>
      <c r="J74" s="77">
        <v>1</v>
      </c>
      <c r="K74" s="77">
        <v>1</v>
      </c>
      <c r="L74" s="78">
        <v>9</v>
      </c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 spans="1:22">
      <c r="A75" s="79" t="s">
        <v>287</v>
      </c>
      <c r="B75" s="81">
        <v>1</v>
      </c>
      <c r="C75" s="81">
        <v>1</v>
      </c>
      <c r="D75" s="81">
        <v>1</v>
      </c>
      <c r="E75" s="81">
        <v>1</v>
      </c>
      <c r="F75" s="81">
        <v>1</v>
      </c>
      <c r="G75" s="81">
        <v>1</v>
      </c>
      <c r="H75" s="81">
        <v>1</v>
      </c>
      <c r="I75" s="81">
        <v>1</v>
      </c>
      <c r="J75" s="80">
        <v>0</v>
      </c>
      <c r="K75" s="80">
        <v>0</v>
      </c>
      <c r="L75" s="82">
        <v>8</v>
      </c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 spans="1:22">
      <c r="A76" s="76" t="s">
        <v>288</v>
      </c>
      <c r="B76" s="77">
        <v>1</v>
      </c>
      <c r="C76" s="77">
        <v>1</v>
      </c>
      <c r="D76" s="77">
        <v>1</v>
      </c>
      <c r="E76" s="77">
        <v>1</v>
      </c>
      <c r="F76" s="77">
        <v>1</v>
      </c>
      <c r="G76" s="77">
        <v>1</v>
      </c>
      <c r="H76" s="83">
        <v>0</v>
      </c>
      <c r="I76" s="77">
        <v>1</v>
      </c>
      <c r="J76" s="77">
        <v>1</v>
      </c>
      <c r="K76" s="83">
        <v>0</v>
      </c>
      <c r="L76" s="78">
        <v>8</v>
      </c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 spans="1:22">
      <c r="A77" s="79" t="s">
        <v>289</v>
      </c>
      <c r="B77" s="80">
        <v>0</v>
      </c>
      <c r="C77" s="80">
        <v>0</v>
      </c>
      <c r="D77" s="80">
        <v>0</v>
      </c>
      <c r="E77" s="81">
        <v>1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80">
        <v>0</v>
      </c>
      <c r="L77" s="82">
        <v>1</v>
      </c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 spans="1:22">
      <c r="A78" s="76" t="s">
        <v>290</v>
      </c>
      <c r="B78" s="83">
        <v>0</v>
      </c>
      <c r="C78" s="83">
        <v>0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77">
        <v>1</v>
      </c>
      <c r="J78" s="77">
        <v>1</v>
      </c>
      <c r="K78" s="83">
        <v>0</v>
      </c>
      <c r="L78" s="78">
        <v>2</v>
      </c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 spans="1:22">
      <c r="A79" s="79" t="s">
        <v>291</v>
      </c>
      <c r="B79" s="81">
        <v>1</v>
      </c>
      <c r="C79" s="81">
        <v>1</v>
      </c>
      <c r="D79" s="81">
        <v>1</v>
      </c>
      <c r="E79" s="80">
        <v>0</v>
      </c>
      <c r="F79" s="80">
        <v>0</v>
      </c>
      <c r="G79" s="80">
        <v>0</v>
      </c>
      <c r="H79" s="81">
        <v>1</v>
      </c>
      <c r="I79" s="80">
        <v>0</v>
      </c>
      <c r="J79" s="80">
        <v>0</v>
      </c>
      <c r="K79" s="81">
        <v>1</v>
      </c>
      <c r="L79" s="82">
        <v>5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 spans="1:22">
      <c r="A80" s="76" t="s">
        <v>292</v>
      </c>
      <c r="B80" s="83">
        <v>0</v>
      </c>
      <c r="C80" s="83">
        <v>0</v>
      </c>
      <c r="D80" s="83">
        <v>0</v>
      </c>
      <c r="E80" s="83">
        <v>0</v>
      </c>
      <c r="F80" s="83">
        <v>0</v>
      </c>
      <c r="G80" s="77">
        <v>1</v>
      </c>
      <c r="H80" s="83">
        <v>0</v>
      </c>
      <c r="I80" s="83">
        <v>0</v>
      </c>
      <c r="J80" s="83">
        <v>0</v>
      </c>
      <c r="K80" s="83">
        <v>0</v>
      </c>
      <c r="L80" s="78">
        <v>1</v>
      </c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 spans="1:22">
      <c r="A81" s="79" t="s">
        <v>238</v>
      </c>
      <c r="B81" s="81">
        <v>1</v>
      </c>
      <c r="C81" s="81">
        <v>1</v>
      </c>
      <c r="D81" s="81">
        <v>1</v>
      </c>
      <c r="E81" s="81">
        <v>1</v>
      </c>
      <c r="F81" s="88">
        <v>5</v>
      </c>
      <c r="G81" s="81">
        <v>1</v>
      </c>
      <c r="H81" s="80">
        <v>0</v>
      </c>
      <c r="I81" s="81">
        <v>1</v>
      </c>
      <c r="J81" s="81">
        <v>1</v>
      </c>
      <c r="K81" s="80">
        <v>0</v>
      </c>
      <c r="L81" s="82">
        <v>12</v>
      </c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 spans="1:22">
      <c r="A82" s="76" t="s">
        <v>293</v>
      </c>
      <c r="B82" s="83">
        <v>0</v>
      </c>
      <c r="C82" s="83">
        <v>0</v>
      </c>
      <c r="D82" s="83">
        <v>0</v>
      </c>
      <c r="E82" s="83">
        <v>0</v>
      </c>
      <c r="F82" s="83">
        <v>0</v>
      </c>
      <c r="G82" s="83">
        <v>0</v>
      </c>
      <c r="H82" s="86">
        <v>2</v>
      </c>
      <c r="I82" s="83">
        <v>0</v>
      </c>
      <c r="J82" s="83">
        <v>0</v>
      </c>
      <c r="K82" s="83">
        <v>0</v>
      </c>
      <c r="L82" s="78">
        <v>2</v>
      </c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 spans="1:22">
      <c r="A83" s="79" t="s">
        <v>294</v>
      </c>
      <c r="B83" s="80">
        <v>0</v>
      </c>
      <c r="C83" s="80">
        <v>0</v>
      </c>
      <c r="D83" s="80">
        <v>0</v>
      </c>
      <c r="E83" s="80">
        <v>0</v>
      </c>
      <c r="F83" s="80">
        <v>0</v>
      </c>
      <c r="G83" s="84">
        <v>2</v>
      </c>
      <c r="H83" s="80">
        <v>0</v>
      </c>
      <c r="I83" s="80">
        <v>0</v>
      </c>
      <c r="J83" s="80">
        <v>0</v>
      </c>
      <c r="K83" s="80">
        <v>0</v>
      </c>
      <c r="L83" s="82">
        <v>2</v>
      </c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 spans="1:22">
      <c r="A84" s="76" t="s">
        <v>295</v>
      </c>
      <c r="B84" s="86">
        <v>2</v>
      </c>
      <c r="C84" s="83">
        <v>0</v>
      </c>
      <c r="D84" s="83">
        <v>0</v>
      </c>
      <c r="E84" s="83">
        <v>0</v>
      </c>
      <c r="F84" s="83">
        <v>0</v>
      </c>
      <c r="G84" s="83">
        <v>0</v>
      </c>
      <c r="H84" s="83">
        <v>0</v>
      </c>
      <c r="I84" s="83">
        <v>0</v>
      </c>
      <c r="J84" s="83">
        <v>0</v>
      </c>
      <c r="K84" s="83">
        <v>0</v>
      </c>
      <c r="L84" s="78">
        <v>2</v>
      </c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 spans="1:22">
      <c r="A85" s="79" t="s">
        <v>296</v>
      </c>
      <c r="B85" s="80">
        <v>0</v>
      </c>
      <c r="C85" s="84">
        <v>2</v>
      </c>
      <c r="D85" s="80">
        <v>0</v>
      </c>
      <c r="E85" s="80">
        <v>0</v>
      </c>
      <c r="F85" s="80">
        <v>0</v>
      </c>
      <c r="G85" s="80">
        <v>0</v>
      </c>
      <c r="H85" s="80">
        <v>0</v>
      </c>
      <c r="I85" s="80">
        <v>0</v>
      </c>
      <c r="J85" s="80">
        <v>0</v>
      </c>
      <c r="K85" s="80">
        <v>0</v>
      </c>
      <c r="L85" s="82">
        <v>2</v>
      </c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 spans="1:22">
      <c r="A86" s="76" t="s">
        <v>297</v>
      </c>
      <c r="B86" s="83">
        <v>0</v>
      </c>
      <c r="C86" s="83">
        <v>0</v>
      </c>
      <c r="D86" s="83">
        <v>0</v>
      </c>
      <c r="E86" s="86">
        <v>2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78">
        <v>2</v>
      </c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 spans="1:22">
      <c r="A87" s="79" t="s">
        <v>298</v>
      </c>
      <c r="B87" s="80">
        <v>0</v>
      </c>
      <c r="C87" s="80">
        <v>0</v>
      </c>
      <c r="D87" s="80">
        <v>0</v>
      </c>
      <c r="E87" s="80">
        <v>0</v>
      </c>
      <c r="F87" s="80">
        <v>0</v>
      </c>
      <c r="G87" s="80">
        <v>0</v>
      </c>
      <c r="H87" s="81">
        <v>1</v>
      </c>
      <c r="I87" s="80">
        <v>0</v>
      </c>
      <c r="J87" s="80">
        <v>0</v>
      </c>
      <c r="K87" s="80">
        <v>0</v>
      </c>
      <c r="L87" s="82">
        <v>1</v>
      </c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 spans="1:22">
      <c r="A88" s="76" t="s">
        <v>299</v>
      </c>
      <c r="B88" s="83">
        <v>0</v>
      </c>
      <c r="C88" s="83">
        <v>0</v>
      </c>
      <c r="D88" s="83">
        <v>0</v>
      </c>
      <c r="E88" s="83">
        <v>0</v>
      </c>
      <c r="F88" s="83">
        <v>0</v>
      </c>
      <c r="G88" s="83">
        <v>0</v>
      </c>
      <c r="H88" s="83">
        <v>0</v>
      </c>
      <c r="I88" s="86">
        <v>2</v>
      </c>
      <c r="J88" s="77">
        <v>1</v>
      </c>
      <c r="K88" s="83">
        <v>0</v>
      </c>
      <c r="L88" s="78">
        <v>3</v>
      </c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 spans="1:22">
      <c r="A89" s="79" t="s">
        <v>300</v>
      </c>
      <c r="B89" s="80">
        <v>0</v>
      </c>
      <c r="C89" s="80">
        <v>0</v>
      </c>
      <c r="D89" s="80">
        <v>0</v>
      </c>
      <c r="E89" s="80">
        <v>0</v>
      </c>
      <c r="F89" s="84">
        <v>2</v>
      </c>
      <c r="G89" s="80">
        <v>0</v>
      </c>
      <c r="H89" s="80">
        <v>0</v>
      </c>
      <c r="I89" s="80">
        <v>0</v>
      </c>
      <c r="J89" s="80">
        <v>0</v>
      </c>
      <c r="K89" s="80">
        <v>0</v>
      </c>
      <c r="L89" s="82">
        <v>2</v>
      </c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 spans="1:22">
      <c r="A90" s="76" t="s">
        <v>301</v>
      </c>
      <c r="B90" s="83">
        <v>0</v>
      </c>
      <c r="C90" s="83">
        <v>0</v>
      </c>
      <c r="D90" s="89">
        <v>3</v>
      </c>
      <c r="E90" s="83">
        <v>0</v>
      </c>
      <c r="F90" s="83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  <c r="L90" s="78">
        <v>3</v>
      </c>
      <c r="M90" s="67"/>
      <c r="N90" s="67"/>
      <c r="O90" s="67"/>
      <c r="P90" s="67"/>
      <c r="Q90" s="67"/>
      <c r="R90" s="67"/>
      <c r="S90" s="67"/>
      <c r="T90" s="67"/>
      <c r="U90" s="67"/>
      <c r="V90" s="67"/>
    </row>
  </sheetData>
  <mergeCells count="13">
    <mergeCell ref="A14:L14"/>
    <mergeCell ref="N15:R15"/>
    <mergeCell ref="B6:H6"/>
    <mergeCell ref="A1:H1"/>
    <mergeCell ref="A2:H2"/>
    <mergeCell ref="B4:C4"/>
    <mergeCell ref="F4:G4"/>
    <mergeCell ref="B5:H5"/>
    <mergeCell ref="B7:H7"/>
    <mergeCell ref="B8:C8"/>
    <mergeCell ref="B9:H9"/>
    <mergeCell ref="B10:H10"/>
    <mergeCell ref="A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1E0D-BA28-4831-82F0-7420A019DF95}">
  <sheetPr>
    <tabColor rgb="FF1F4E78"/>
  </sheetPr>
  <dimension ref="A1:H25"/>
  <sheetViews>
    <sheetView showGridLines="0" topLeftCell="A9" workbookViewId="0">
      <selection activeCell="C14" sqref="C14"/>
    </sheetView>
  </sheetViews>
  <sheetFormatPr defaultRowHeight="15"/>
  <cols>
    <col min="1" max="1" width="14.85546875" customWidth="1"/>
    <col min="2" max="2" width="32.42578125" customWidth="1"/>
    <col min="3" max="3" width="21" customWidth="1"/>
    <col min="4" max="4" width="16.140625" customWidth="1"/>
    <col min="5" max="7" width="27.5703125" customWidth="1"/>
    <col min="8" max="8" width="19" customWidth="1"/>
  </cols>
  <sheetData>
    <row r="1" spans="1:8" ht="21">
      <c r="A1" s="118" t="s">
        <v>302</v>
      </c>
      <c r="B1" s="118"/>
      <c r="C1" s="118"/>
      <c r="D1" s="118"/>
      <c r="E1" s="118"/>
      <c r="F1" s="118"/>
      <c r="G1" s="118"/>
      <c r="H1" s="118"/>
    </row>
    <row r="2" spans="1:8">
      <c r="A2" s="133" t="s">
        <v>115</v>
      </c>
      <c r="B2" s="133"/>
      <c r="C2" s="133"/>
      <c r="D2" s="133"/>
      <c r="E2" s="133"/>
      <c r="F2" s="133"/>
      <c r="G2" s="133"/>
      <c r="H2" s="133"/>
    </row>
    <row r="3" spans="1:8">
      <c r="A3" s="15"/>
      <c r="B3" s="15"/>
      <c r="C3" s="15"/>
      <c r="D3" s="15"/>
      <c r="E3" s="15"/>
      <c r="F3" s="15"/>
      <c r="G3" s="15"/>
      <c r="H3" s="15"/>
    </row>
    <row r="4" spans="1:8">
      <c r="A4" s="16" t="s">
        <v>116</v>
      </c>
      <c r="B4" s="120">
        <f>Seguimiento!B3</f>
        <v>46266</v>
      </c>
      <c r="C4" s="114"/>
      <c r="D4" s="18">
        <f>Seguimiento!B4</f>
        <v>46295</v>
      </c>
      <c r="E4" s="16" t="s">
        <v>117</v>
      </c>
      <c r="F4" s="113" t="str">
        <f>Seguimiento!E3</f>
        <v>Emerson Garita López</v>
      </c>
      <c r="G4" s="114"/>
      <c r="H4" s="19">
        <v>6</v>
      </c>
    </row>
    <row r="5" spans="1:8">
      <c r="A5" s="16" t="s">
        <v>118</v>
      </c>
      <c r="B5" s="113" t="str">
        <f>Seguimiento!B12</f>
        <v>Equipo Ingeniería</v>
      </c>
      <c r="C5" s="114"/>
      <c r="D5" s="113"/>
      <c r="E5" s="114"/>
      <c r="F5" s="113"/>
      <c r="G5" s="114"/>
      <c r="H5" s="113"/>
    </row>
    <row r="6" spans="1:8" ht="25.5">
      <c r="A6" s="16" t="s">
        <v>119</v>
      </c>
      <c r="B6" s="113" t="str">
        <f>Seguimiento!C12</f>
        <v>Registro y control de equipos del departamento</v>
      </c>
      <c r="C6" s="114"/>
      <c r="D6" s="113"/>
      <c r="E6" s="114"/>
      <c r="F6" s="113"/>
      <c r="G6" s="114"/>
      <c r="H6" s="113"/>
    </row>
    <row r="7" spans="1:8">
      <c r="A7" s="16" t="s">
        <v>11</v>
      </c>
      <c r="B7" s="113" t="str">
        <f>Seguimiento!D12</f>
        <v>Sin pérdida de registros</v>
      </c>
      <c r="C7" s="114"/>
      <c r="D7" s="113"/>
      <c r="E7" s="114"/>
      <c r="F7" s="113"/>
      <c r="G7" s="114"/>
      <c r="H7" s="113"/>
    </row>
    <row r="8" spans="1:8">
      <c r="A8" s="16" t="s">
        <v>120</v>
      </c>
      <c r="B8" s="113" t="str">
        <f>IF(Seguimiento!E12,"Cumplido",IF(Seguimiento!F12,"N/A","Pendiente"))</f>
        <v>Pendiente</v>
      </c>
      <c r="C8" s="114"/>
      <c r="D8" s="19" t="str">
        <f>IF(Seguimiento!E12,"Sí","No")</f>
        <v>No</v>
      </c>
      <c r="E8" s="16" t="s">
        <v>13</v>
      </c>
      <c r="F8" s="19" t="str">
        <f>IF(Seguimiento!F12,"Sí","No")</f>
        <v>No</v>
      </c>
      <c r="G8" s="16"/>
      <c r="H8" s="19"/>
    </row>
    <row r="9" spans="1:8">
      <c r="A9" s="16" t="s">
        <v>121</v>
      </c>
      <c r="B9" s="113" t="str">
        <f>IF(Seguimiento!E12,"Control mensual completado",IF(Seguimiento!F12,"Indicador no aplicable en el periodo","Requiere seguimiento"))</f>
        <v>Requiere seguimiento</v>
      </c>
      <c r="C9" s="114"/>
      <c r="D9" s="113"/>
      <c r="E9" s="114"/>
      <c r="F9" s="113"/>
      <c r="G9" s="114"/>
      <c r="H9" s="113"/>
    </row>
    <row r="10" spans="1:8" ht="25.5">
      <c r="A10" s="16" t="s">
        <v>122</v>
      </c>
      <c r="B10" s="113">
        <f>Seguimiento!G12</f>
        <v>0</v>
      </c>
      <c r="C10" s="114"/>
      <c r="D10" s="113"/>
      <c r="E10" s="114"/>
      <c r="F10" s="113"/>
      <c r="G10" s="114"/>
      <c r="H10" s="113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>
      <c r="A12" s="117" t="s">
        <v>123</v>
      </c>
      <c r="B12" s="117"/>
      <c r="C12" s="117"/>
      <c r="D12" s="117"/>
      <c r="E12" s="117"/>
      <c r="F12" s="117"/>
      <c r="G12" s="117"/>
      <c r="H12" s="117"/>
    </row>
    <row r="13" spans="1:8">
      <c r="A13" s="31" t="s">
        <v>5</v>
      </c>
      <c r="B13" s="31" t="s">
        <v>124</v>
      </c>
      <c r="C13" s="31" t="s">
        <v>117</v>
      </c>
      <c r="D13" s="31" t="s">
        <v>75</v>
      </c>
      <c r="E13" s="31" t="s">
        <v>125</v>
      </c>
      <c r="F13" s="31" t="s">
        <v>126</v>
      </c>
      <c r="G13" s="31" t="s">
        <v>127</v>
      </c>
      <c r="H13" s="31" t="s">
        <v>128</v>
      </c>
    </row>
    <row r="14" spans="1:8" ht="38.25">
      <c r="A14" s="19"/>
      <c r="B14" s="19"/>
      <c r="C14" s="19"/>
      <c r="D14" s="19"/>
      <c r="E14" s="19"/>
      <c r="F14" s="111" t="s">
        <v>303</v>
      </c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11">
    <mergeCell ref="B6:H6"/>
    <mergeCell ref="A1:H1"/>
    <mergeCell ref="A2:H2"/>
    <mergeCell ref="B4:C4"/>
    <mergeCell ref="F4:G4"/>
    <mergeCell ref="B5:H5"/>
    <mergeCell ref="B7:H7"/>
    <mergeCell ref="B8:C8"/>
    <mergeCell ref="B9:H9"/>
    <mergeCell ref="B10:H10"/>
    <mergeCell ref="A12:H12"/>
  </mergeCells>
  <dataValidations count="1">
    <dataValidation type="list" allowBlank="1" showInputMessage="1" showErrorMessage="1" sqref="D14:D25" xr:uid="{E6222B94-348F-4CCF-8DBB-BED2BCB0E981}">
      <formula1>"Pendiente,En proceso,Cumplido,N/A"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0CB4-B753-4EE9-A4A1-4F9447C2F61B}">
  <sheetPr>
    <tabColor rgb="FF1F4E78"/>
  </sheetPr>
  <dimension ref="A1:H12"/>
  <sheetViews>
    <sheetView showGridLines="0" topLeftCell="A11" workbookViewId="0">
      <selection activeCell="C15" sqref="C15"/>
    </sheetView>
  </sheetViews>
  <sheetFormatPr defaultRowHeight="15"/>
  <cols>
    <col min="1" max="1" width="31.42578125" customWidth="1"/>
  </cols>
  <sheetData>
    <row r="1" spans="1:8">
      <c r="A1" s="188" t="s">
        <v>304</v>
      </c>
      <c r="B1" s="188"/>
      <c r="C1" s="188"/>
      <c r="D1" s="188"/>
      <c r="E1" s="188"/>
      <c r="F1" s="188"/>
      <c r="G1" s="188"/>
      <c r="H1" s="188"/>
    </row>
    <row r="2" spans="1:8">
      <c r="A2" s="188" t="s">
        <v>115</v>
      </c>
      <c r="B2" s="188"/>
      <c r="C2" s="188"/>
      <c r="D2" s="188"/>
      <c r="E2" s="188"/>
      <c r="F2" s="188"/>
      <c r="G2" s="188"/>
      <c r="H2" s="188"/>
    </row>
    <row r="4" spans="1:8">
      <c r="A4" t="s">
        <v>116</v>
      </c>
      <c r="B4" s="189">
        <f>Seguimiento!B3</f>
        <v>46266</v>
      </c>
      <c r="C4" s="188"/>
      <c r="D4" s="14">
        <f>Seguimiento!B4</f>
        <v>46295</v>
      </c>
      <c r="E4" t="s">
        <v>117</v>
      </c>
      <c r="F4" s="188" t="str">
        <f>Seguimiento!E3</f>
        <v>Emerson Garita López</v>
      </c>
      <c r="G4" s="188"/>
      <c r="H4">
        <v>7</v>
      </c>
    </row>
    <row r="5" spans="1:8">
      <c r="A5" t="s">
        <v>118</v>
      </c>
      <c r="B5" s="188" t="str">
        <f>Seguimiento!B13</f>
        <v>Solicitud de Abonados</v>
      </c>
      <c r="C5" s="188"/>
      <c r="D5" s="188"/>
      <c r="E5" s="188"/>
      <c r="F5" s="188"/>
      <c r="G5" s="188"/>
      <c r="H5" s="188"/>
    </row>
    <row r="6" spans="1:8">
      <c r="A6" t="s">
        <v>119</v>
      </c>
      <c r="B6" s="188" t="str">
        <f>Seguimiento!C13</f>
        <v>Solicitudes y coordinaciones atendidas</v>
      </c>
      <c r="C6" s="188"/>
      <c r="D6" s="188"/>
      <c r="E6" s="188"/>
      <c r="F6" s="188"/>
      <c r="G6" s="188"/>
      <c r="H6" s="188"/>
    </row>
    <row r="7" spans="1:8">
      <c r="A7" t="s">
        <v>11</v>
      </c>
      <c r="B7" s="188" t="str">
        <f>Seguimiento!D13</f>
        <v>≥ 90% atendidas y 100% registrados</v>
      </c>
      <c r="C7" s="188"/>
      <c r="D7" s="188"/>
      <c r="E7" s="188"/>
      <c r="F7" s="188"/>
      <c r="G7" s="188"/>
      <c r="H7" s="188"/>
    </row>
    <row r="8" spans="1:8">
      <c r="A8" t="s">
        <v>120</v>
      </c>
      <c r="B8" s="188" t="str">
        <f>IF(Seguimiento!E13,"Cumplido",IF(Seguimiento!F13,"N/A","Pendiente"))</f>
        <v>Pendiente</v>
      </c>
      <c r="C8" s="188"/>
      <c r="E8" t="s">
        <v>13</v>
      </c>
    </row>
    <row r="9" spans="1:8">
      <c r="A9" t="s">
        <v>121</v>
      </c>
      <c r="B9" s="188"/>
      <c r="C9" s="188"/>
      <c r="D9" s="188"/>
      <c r="E9" s="188"/>
      <c r="F9" s="188"/>
      <c r="G9" s="188"/>
      <c r="H9" s="188"/>
    </row>
    <row r="10" spans="1:8">
      <c r="A10" t="s">
        <v>122</v>
      </c>
      <c r="B10" s="188"/>
      <c r="C10" s="188"/>
      <c r="D10" s="188"/>
      <c r="E10" s="188"/>
      <c r="F10" s="188"/>
      <c r="G10" s="188"/>
      <c r="H10" s="188"/>
    </row>
    <row r="12" spans="1:8">
      <c r="A12" s="188"/>
      <c r="B12" s="188"/>
      <c r="C12" s="188"/>
      <c r="D12" s="188"/>
      <c r="E12" s="188"/>
      <c r="F12" s="188"/>
      <c r="G12" s="188"/>
      <c r="H12" s="188"/>
    </row>
  </sheetData>
  <mergeCells count="11">
    <mergeCell ref="B6:H6"/>
    <mergeCell ref="A1:H1"/>
    <mergeCell ref="A2:H2"/>
    <mergeCell ref="B4:C4"/>
    <mergeCell ref="F4:G4"/>
    <mergeCell ref="B5:H5"/>
    <mergeCell ref="B7:H7"/>
    <mergeCell ref="B8:C8"/>
    <mergeCell ref="B9:H9"/>
    <mergeCell ref="B10:H10"/>
    <mergeCell ref="A12:H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A435-55BE-4D7B-B368-FE0F5A947626}">
  <sheetPr>
    <tabColor rgb="FF1F4E78"/>
  </sheetPr>
  <dimension ref="A1:F25"/>
  <sheetViews>
    <sheetView showGridLines="0" topLeftCell="A18" workbookViewId="0">
      <selection activeCell="H16" sqref="H16"/>
    </sheetView>
  </sheetViews>
  <sheetFormatPr defaultRowHeight="15"/>
  <cols>
    <col min="1" max="1" width="49.42578125" style="107" customWidth="1"/>
    <col min="2" max="2" width="32.42578125" customWidth="1"/>
    <col min="3" max="3" width="26.28515625" style="107" customWidth="1"/>
    <col min="4" max="4" width="25.7109375" style="107" customWidth="1"/>
    <col min="5" max="5" width="25.7109375" customWidth="1"/>
    <col min="6" max="6" width="19" customWidth="1"/>
  </cols>
  <sheetData>
    <row r="1" spans="1:6" ht="21">
      <c r="A1" s="135" t="s">
        <v>305</v>
      </c>
      <c r="B1" s="135"/>
      <c r="C1" s="135"/>
      <c r="D1" s="135"/>
      <c r="E1" s="135"/>
      <c r="F1" s="135"/>
    </row>
    <row r="2" spans="1:6">
      <c r="A2" s="113" t="s">
        <v>115</v>
      </c>
      <c r="B2" s="113"/>
      <c r="C2" s="113"/>
      <c r="D2" s="113"/>
      <c r="E2" s="113"/>
      <c r="F2" s="113"/>
    </row>
    <row r="3" spans="1:6">
      <c r="A3" s="104"/>
      <c r="B3" s="19"/>
      <c r="C3" s="104"/>
      <c r="D3" s="104"/>
      <c r="E3" s="19"/>
      <c r="F3" s="19"/>
    </row>
    <row r="4" spans="1:6">
      <c r="A4" s="108" t="s">
        <v>116</v>
      </c>
      <c r="B4" s="17">
        <f>Seguimiento!B3</f>
        <v>46266</v>
      </c>
      <c r="C4" s="108" t="s">
        <v>117</v>
      </c>
      <c r="D4" s="104" t="str">
        <f>Seguimiento!E3</f>
        <v>Emerson Garita López</v>
      </c>
      <c r="E4" s="16" t="s">
        <v>8</v>
      </c>
      <c r="F4" s="19">
        <v>8</v>
      </c>
    </row>
    <row r="5" spans="1:6">
      <c r="A5" s="108" t="s">
        <v>118</v>
      </c>
      <c r="B5" s="113" t="str">
        <f>Seguimiento!B14</f>
        <v>Solicitud de colaboradores</v>
      </c>
      <c r="C5" s="114"/>
      <c r="D5" s="113"/>
      <c r="E5" s="114"/>
      <c r="F5" s="113"/>
    </row>
    <row r="6" spans="1:6">
      <c r="A6" s="108" t="s">
        <v>119</v>
      </c>
      <c r="B6" s="113" t="str">
        <f>Seguimiento!C14</f>
        <v>Solicitudes recibidas y gestionadas debidamente registradas</v>
      </c>
      <c r="C6" s="114"/>
      <c r="D6" s="113"/>
      <c r="E6" s="114"/>
      <c r="F6" s="113"/>
    </row>
    <row r="7" spans="1:6">
      <c r="A7" s="108" t="s">
        <v>11</v>
      </c>
      <c r="B7" s="113" t="str">
        <f>Seguimiento!D14</f>
        <v>Sin pérdida de registros</v>
      </c>
      <c r="C7" s="114"/>
      <c r="D7" s="113"/>
      <c r="E7" s="114"/>
      <c r="F7" s="113"/>
    </row>
    <row r="8" spans="1:6">
      <c r="A8" s="108" t="s">
        <v>120</v>
      </c>
      <c r="B8" s="19" t="str">
        <f>IF(Seguimiento!E14,"Cumplido",IF(Seguimiento!F14,"N/A","Pendiente"))</f>
        <v>Cumplido</v>
      </c>
      <c r="C8" s="108" t="s">
        <v>13</v>
      </c>
      <c r="D8" s="104" t="str">
        <f>IF(Seguimiento!F14,"Sí","No")</f>
        <v>No</v>
      </c>
      <c r="E8" s="16"/>
      <c r="F8" s="19"/>
    </row>
    <row r="9" spans="1:6">
      <c r="A9" s="108" t="s">
        <v>121</v>
      </c>
      <c r="B9" s="113" t="str">
        <f>IF(Seguimiento!E14,"Control mensual completado",IF(Seguimiento!F14,"Indicador no aplicable en el periodo","Requiere seguimiento"))</f>
        <v>Control mensual completado</v>
      </c>
      <c r="C9" s="113"/>
      <c r="D9" s="113"/>
      <c r="E9" s="113"/>
      <c r="F9" s="113"/>
    </row>
    <row r="10" spans="1:6">
      <c r="A10" s="108" t="s">
        <v>122</v>
      </c>
      <c r="B10" s="113">
        <f>Seguimiento!G14</f>
        <v>0</v>
      </c>
      <c r="C10" s="113"/>
      <c r="D10" s="113"/>
      <c r="E10" s="113"/>
      <c r="F10" s="113"/>
    </row>
    <row r="11" spans="1:6">
      <c r="A11" s="104"/>
      <c r="B11" s="19"/>
      <c r="C11" s="104"/>
      <c r="D11" s="104"/>
      <c r="E11" s="19"/>
      <c r="F11" s="19"/>
    </row>
    <row r="12" spans="1:6">
      <c r="A12" s="134" t="s">
        <v>123</v>
      </c>
      <c r="B12" s="134"/>
      <c r="C12" s="134"/>
      <c r="D12" s="134"/>
      <c r="E12" s="134"/>
      <c r="F12" s="134"/>
    </row>
    <row r="13" spans="1:6">
      <c r="A13" s="105" t="s">
        <v>5</v>
      </c>
      <c r="B13" s="31" t="s">
        <v>124</v>
      </c>
      <c r="C13" s="105" t="s">
        <v>125</v>
      </c>
      <c r="D13" s="105" t="s">
        <v>126</v>
      </c>
      <c r="E13" s="31" t="s">
        <v>127</v>
      </c>
      <c r="F13" s="31" t="s">
        <v>128</v>
      </c>
    </row>
    <row r="14" spans="1:6">
      <c r="A14" s="106" t="s">
        <v>306</v>
      </c>
      <c r="B14" s="112" t="s">
        <v>307</v>
      </c>
      <c r="C14" s="109" t="s">
        <v>308</v>
      </c>
      <c r="D14" s="106" t="s">
        <v>309</v>
      </c>
      <c r="E14" s="19"/>
      <c r="F14" s="19"/>
    </row>
    <row r="15" spans="1:6">
      <c r="A15" s="106" t="s">
        <v>310</v>
      </c>
      <c r="B15" s="112" t="s">
        <v>307</v>
      </c>
      <c r="C15" s="109" t="s">
        <v>308</v>
      </c>
      <c r="D15" s="106" t="s">
        <v>309</v>
      </c>
      <c r="E15" s="19"/>
      <c r="F15" s="19"/>
    </row>
    <row r="16" spans="1:6" ht="33.75">
      <c r="A16" s="110" t="s">
        <v>311</v>
      </c>
      <c r="B16" s="112" t="s">
        <v>307</v>
      </c>
      <c r="C16" s="109" t="s">
        <v>308</v>
      </c>
      <c r="D16" s="106" t="s">
        <v>309</v>
      </c>
      <c r="E16" s="19"/>
      <c r="F16" s="19"/>
    </row>
    <row r="17" spans="1:6">
      <c r="A17" s="106" t="s">
        <v>312</v>
      </c>
      <c r="B17" s="112" t="s">
        <v>307</v>
      </c>
      <c r="C17" s="109" t="s">
        <v>313</v>
      </c>
      <c r="D17" s="106" t="s">
        <v>314</v>
      </c>
      <c r="E17" s="19"/>
      <c r="F17" s="19"/>
    </row>
    <row r="18" spans="1:6">
      <c r="A18" s="106" t="s">
        <v>315</v>
      </c>
      <c r="B18" s="112" t="s">
        <v>316</v>
      </c>
      <c r="C18" s="109" t="s">
        <v>317</v>
      </c>
      <c r="D18" s="106" t="s">
        <v>309</v>
      </c>
      <c r="E18" s="19"/>
      <c r="F18" s="19"/>
    </row>
    <row r="19" spans="1:6">
      <c r="A19" s="106" t="s">
        <v>318</v>
      </c>
      <c r="B19" s="112" t="s">
        <v>307</v>
      </c>
      <c r="C19" s="109" t="s">
        <v>319</v>
      </c>
      <c r="D19" s="106" t="s">
        <v>309</v>
      </c>
      <c r="E19" s="19"/>
      <c r="F19" s="19"/>
    </row>
    <row r="20" spans="1:6" ht="33.75">
      <c r="A20" s="110" t="s">
        <v>320</v>
      </c>
      <c r="B20" s="112" t="s">
        <v>307</v>
      </c>
      <c r="C20" s="109" t="s">
        <v>321</v>
      </c>
      <c r="D20" s="106" t="s">
        <v>309</v>
      </c>
      <c r="E20" s="19"/>
      <c r="F20" s="19"/>
    </row>
    <row r="21" spans="1:6">
      <c r="A21" s="106" t="s">
        <v>322</v>
      </c>
      <c r="B21" s="112" t="s">
        <v>307</v>
      </c>
      <c r="C21" s="109" t="s">
        <v>321</v>
      </c>
      <c r="D21" s="106" t="s">
        <v>309</v>
      </c>
      <c r="E21" s="19"/>
      <c r="F21" s="19"/>
    </row>
    <row r="22" spans="1:6" ht="33.75">
      <c r="A22" s="110" t="s">
        <v>323</v>
      </c>
      <c r="B22" s="112" t="s">
        <v>307</v>
      </c>
      <c r="C22" s="109">
        <v>46181.709027777775</v>
      </c>
      <c r="D22" s="106" t="s">
        <v>309</v>
      </c>
      <c r="E22" s="19"/>
      <c r="F22" s="19"/>
    </row>
    <row r="23" spans="1:6" ht="33.75">
      <c r="A23" s="110" t="s">
        <v>320</v>
      </c>
      <c r="B23" s="112" t="s">
        <v>307</v>
      </c>
      <c r="C23" s="109">
        <v>46089.709027777775</v>
      </c>
      <c r="D23" s="106" t="s">
        <v>309</v>
      </c>
      <c r="E23" s="19"/>
      <c r="F23" s="19"/>
    </row>
    <row r="24" spans="1:6">
      <c r="A24" s="104"/>
      <c r="B24" s="19"/>
      <c r="C24" s="104"/>
      <c r="D24" s="104"/>
      <c r="E24" s="19"/>
      <c r="F24" s="19"/>
    </row>
    <row r="25" spans="1:6">
      <c r="A25" s="104"/>
      <c r="B25" s="19"/>
      <c r="C25" s="104"/>
      <c r="D25" s="104"/>
      <c r="E25" s="19"/>
      <c r="F25" s="19"/>
    </row>
  </sheetData>
  <mergeCells count="8">
    <mergeCell ref="B10:F10"/>
    <mergeCell ref="A12:F12"/>
    <mergeCell ref="A1:F1"/>
    <mergeCell ref="A2:F2"/>
    <mergeCell ref="B5:F5"/>
    <mergeCell ref="B6:F6"/>
    <mergeCell ref="B7:F7"/>
    <mergeCell ref="B9:F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2828-A505-47A1-97AA-7CF60DCB8101}">
  <sheetPr>
    <tabColor rgb="FF1F4E78"/>
  </sheetPr>
  <dimension ref="A1:H200"/>
  <sheetViews>
    <sheetView showGridLines="0" workbookViewId="0">
      <selection activeCell="A2" sqref="A2:H2"/>
    </sheetView>
  </sheetViews>
  <sheetFormatPr defaultRowHeight="15"/>
  <cols>
    <col min="1" max="1" width="14.85546875" customWidth="1"/>
    <col min="2" max="2" width="40" customWidth="1"/>
    <col min="3" max="3" width="20" customWidth="1"/>
    <col min="4" max="4" width="16.7109375" customWidth="1"/>
    <col min="5" max="7" width="26.7109375" customWidth="1"/>
    <col min="8" max="8" width="17.5703125" customWidth="1"/>
  </cols>
  <sheetData>
    <row r="1" spans="1:8">
      <c r="A1" s="188" t="s">
        <v>324</v>
      </c>
      <c r="B1" s="188"/>
      <c r="C1" s="188"/>
      <c r="D1" s="188"/>
      <c r="E1" s="188"/>
      <c r="F1" s="188"/>
      <c r="G1" s="188"/>
      <c r="H1" s="188"/>
    </row>
    <row r="2" spans="1:8">
      <c r="A2" s="188" t="s">
        <v>115</v>
      </c>
      <c r="B2" s="188"/>
      <c r="C2" s="188"/>
      <c r="D2" s="188"/>
      <c r="E2" s="188"/>
      <c r="F2" s="188"/>
      <c r="G2" s="188"/>
      <c r="H2" s="188"/>
    </row>
    <row r="4" spans="1:8">
      <c r="A4" t="s">
        <v>116</v>
      </c>
      <c r="B4" s="32">
        <f>Seguimiento!B3</f>
        <v>46266</v>
      </c>
      <c r="C4" t="s">
        <v>5</v>
      </c>
      <c r="D4" s="14">
        <f>Seguimiento!B4</f>
        <v>46295</v>
      </c>
      <c r="E4" t="s">
        <v>117</v>
      </c>
      <c r="F4" t="str">
        <f>Seguimiento!E3</f>
        <v>Emerson Garita López</v>
      </c>
      <c r="G4" t="s">
        <v>8</v>
      </c>
      <c r="H4">
        <v>9</v>
      </c>
    </row>
    <row r="5" spans="1:8">
      <c r="A5" t="s">
        <v>118</v>
      </c>
      <c r="B5" s="188" t="str">
        <f>Seguimiento!B15</f>
        <v>Planes y acuerdos de ingeniería</v>
      </c>
      <c r="C5" s="188"/>
      <c r="D5" s="188"/>
      <c r="E5" s="188"/>
      <c r="F5" s="188"/>
      <c r="G5" s="188"/>
      <c r="H5" s="188"/>
    </row>
    <row r="6" spans="1:8">
      <c r="A6" t="s">
        <v>119</v>
      </c>
      <c r="B6" t="str">
        <f>Seguimiento!C15</f>
        <v>Seguimiento de actividades y acuerdos asignados</v>
      </c>
    </row>
    <row r="7" spans="1:8">
      <c r="A7" t="s">
        <v>11</v>
      </c>
      <c r="B7" t="str">
        <f>Seguimiento!D15</f>
        <v>≥ 90% en cumplimiento y 100% registrados</v>
      </c>
    </row>
    <row r="8" spans="1:8">
      <c r="A8" t="s">
        <v>120</v>
      </c>
      <c r="B8" t="str">
        <f>IF(Seguimiento!E15,"Cumplido",IF(Seguimiento!F15,"N/A","Pendiente"))</f>
        <v>Pendiente</v>
      </c>
      <c r="C8" t="s">
        <v>12</v>
      </c>
      <c r="D8" t="str">
        <f>IF(Seguimiento!E15,"Sí","No")</f>
        <v>No</v>
      </c>
      <c r="E8" t="s">
        <v>13</v>
      </c>
      <c r="F8" t="str">
        <f>IF(Seguimiento!F15,"Sí","No")</f>
        <v>No</v>
      </c>
    </row>
    <row r="9" spans="1:8">
      <c r="A9" t="s">
        <v>121</v>
      </c>
      <c r="B9" t="str">
        <f>IF(Seguimiento!E15,"Control mensual completado",IF(Seguimiento!F15,"Indicador no aplicable en el periodo","Requiere seguimiento"))</f>
        <v>Requiere seguimiento</v>
      </c>
    </row>
    <row r="10" spans="1:8">
      <c r="A10" t="s">
        <v>122</v>
      </c>
      <c r="B10">
        <f>Seguimiento!G15</f>
        <v>0</v>
      </c>
    </row>
    <row r="12" spans="1:8" ht="24" customHeight="1">
      <c r="A12" s="136" t="s">
        <v>123</v>
      </c>
      <c r="B12" s="136"/>
      <c r="C12" s="136"/>
      <c r="D12" s="136"/>
      <c r="E12" s="136"/>
      <c r="F12" s="136"/>
      <c r="G12" s="136"/>
      <c r="H12" s="136"/>
    </row>
    <row r="13" spans="1:8">
      <c r="A13" t="s">
        <v>5</v>
      </c>
      <c r="B13" t="s">
        <v>325</v>
      </c>
      <c r="C13" t="s">
        <v>117</v>
      </c>
      <c r="D13" t="s">
        <v>75</v>
      </c>
      <c r="E13" t="s">
        <v>125</v>
      </c>
      <c r="F13" t="s">
        <v>126</v>
      </c>
      <c r="G13" t="s">
        <v>127</v>
      </c>
      <c r="H13" t="s">
        <v>128</v>
      </c>
    </row>
    <row r="14" spans="1:8">
      <c r="A14" s="64"/>
      <c r="B14" s="65"/>
      <c r="C14" s="65"/>
      <c r="D14" s="65"/>
      <c r="E14" s="65"/>
      <c r="F14" s="65"/>
      <c r="G14" s="65"/>
      <c r="H14" s="64"/>
    </row>
    <row r="15" spans="1:8">
      <c r="A15" s="64"/>
      <c r="B15" s="65"/>
      <c r="C15" s="65"/>
      <c r="D15" s="65"/>
      <c r="E15" s="65"/>
      <c r="F15" s="65"/>
      <c r="G15" s="65"/>
      <c r="H15" s="64"/>
    </row>
    <row r="16" spans="1:8">
      <c r="A16" s="64"/>
      <c r="B16" s="65"/>
      <c r="C16" s="65"/>
      <c r="D16" s="65"/>
      <c r="E16" s="65"/>
      <c r="F16" s="65"/>
      <c r="G16" s="65"/>
      <c r="H16" s="64"/>
    </row>
    <row r="17" spans="1:8">
      <c r="A17" s="64"/>
      <c r="B17" s="65"/>
      <c r="C17" s="65"/>
      <c r="D17" s="65"/>
      <c r="E17" s="65"/>
      <c r="F17" s="65"/>
      <c r="G17" s="65"/>
      <c r="H17" s="64"/>
    </row>
    <row r="18" spans="1:8">
      <c r="A18" s="64"/>
      <c r="B18" s="65"/>
      <c r="C18" s="65"/>
      <c r="D18" s="65"/>
      <c r="E18" s="65"/>
      <c r="F18" s="65"/>
      <c r="G18" s="65"/>
      <c r="H18" s="64"/>
    </row>
    <row r="19" spans="1:8">
      <c r="A19" s="64"/>
      <c r="B19" s="65"/>
      <c r="C19" s="65"/>
      <c r="D19" s="65"/>
      <c r="E19" s="65"/>
      <c r="F19" s="65"/>
      <c r="G19" s="65"/>
      <c r="H19" s="64"/>
    </row>
    <row r="20" spans="1:8">
      <c r="A20" s="64"/>
      <c r="B20" s="65"/>
      <c r="C20" s="65"/>
      <c r="D20" s="65"/>
      <c r="E20" s="65"/>
      <c r="F20" s="65"/>
      <c r="G20" s="65"/>
      <c r="H20" s="64"/>
    </row>
    <row r="21" spans="1:8">
      <c r="A21" s="64"/>
      <c r="B21" s="65"/>
      <c r="C21" s="65"/>
      <c r="D21" s="65"/>
      <c r="E21" s="65"/>
      <c r="F21" s="65"/>
      <c r="G21" s="65"/>
      <c r="H21" s="64"/>
    </row>
    <row r="22" spans="1:8">
      <c r="A22" s="64"/>
      <c r="B22" s="65"/>
      <c r="C22" s="65"/>
      <c r="D22" s="65"/>
      <c r="E22" s="65"/>
      <c r="F22" s="65"/>
      <c r="G22" s="65"/>
      <c r="H22" s="64"/>
    </row>
    <row r="23" spans="1:8">
      <c r="A23" s="64"/>
      <c r="B23" s="65"/>
      <c r="C23" s="65"/>
      <c r="D23" s="65"/>
      <c r="E23" s="65"/>
      <c r="F23" s="65"/>
      <c r="G23" s="65"/>
      <c r="H23" s="64"/>
    </row>
    <row r="24" spans="1:8">
      <c r="A24" s="64"/>
      <c r="B24" s="65"/>
      <c r="C24" s="65"/>
      <c r="D24" s="65"/>
      <c r="E24" s="65"/>
      <c r="F24" s="65"/>
      <c r="G24" s="65"/>
      <c r="H24" s="64"/>
    </row>
    <row r="25" spans="1:8">
      <c r="A25" s="64"/>
      <c r="B25" s="65"/>
      <c r="C25" s="65"/>
      <c r="D25" s="65"/>
      <c r="E25" s="65"/>
      <c r="F25" s="65"/>
      <c r="G25" s="65"/>
      <c r="H25" s="64"/>
    </row>
    <row r="26" spans="1:8">
      <c r="A26" s="64"/>
      <c r="B26" s="65"/>
      <c r="C26" s="65"/>
      <c r="D26" s="65"/>
      <c r="E26" s="65"/>
      <c r="F26" s="65"/>
      <c r="G26" s="65"/>
      <c r="H26" s="64"/>
    </row>
    <row r="27" spans="1:8">
      <c r="A27" s="64"/>
      <c r="B27" s="65"/>
      <c r="C27" s="65"/>
      <c r="D27" s="65"/>
      <c r="E27" s="65"/>
      <c r="F27" s="65"/>
      <c r="G27" s="65"/>
      <c r="H27" s="64"/>
    </row>
    <row r="28" spans="1:8">
      <c r="A28" s="64"/>
      <c r="B28" s="65"/>
      <c r="C28" s="65"/>
      <c r="D28" s="65"/>
      <c r="E28" s="65"/>
      <c r="F28" s="65"/>
      <c r="G28" s="65"/>
      <c r="H28" s="64"/>
    </row>
    <row r="29" spans="1:8">
      <c r="A29" s="64"/>
      <c r="B29" s="65"/>
      <c r="C29" s="65"/>
      <c r="D29" s="65"/>
      <c r="E29" s="65"/>
      <c r="F29" s="65"/>
      <c r="G29" s="65"/>
      <c r="H29" s="64"/>
    </row>
    <row r="30" spans="1:8">
      <c r="A30" s="64"/>
      <c r="B30" s="65"/>
      <c r="C30" s="65"/>
      <c r="D30" s="65"/>
      <c r="E30" s="65"/>
      <c r="F30" s="65"/>
      <c r="G30" s="65"/>
      <c r="H30" s="64"/>
    </row>
    <row r="31" spans="1:8">
      <c r="A31" s="64"/>
      <c r="B31" s="65"/>
      <c r="C31" s="65"/>
      <c r="D31" s="65"/>
      <c r="E31" s="65"/>
      <c r="F31" s="65"/>
      <c r="G31" s="65"/>
      <c r="H31" s="64"/>
    </row>
    <row r="32" spans="1:8">
      <c r="A32" s="64"/>
      <c r="B32" s="65"/>
      <c r="C32" s="65"/>
      <c r="D32" s="65"/>
      <c r="E32" s="65"/>
      <c r="F32" s="65"/>
      <c r="G32" s="65"/>
      <c r="H32" s="64"/>
    </row>
    <row r="33" spans="1:8">
      <c r="A33" s="64"/>
      <c r="B33" s="65"/>
      <c r="C33" s="65"/>
      <c r="D33" s="65"/>
      <c r="E33" s="65"/>
      <c r="F33" s="65"/>
      <c r="G33" s="65"/>
      <c r="H33" s="64"/>
    </row>
    <row r="34" spans="1:8">
      <c r="A34" s="64"/>
      <c r="B34" s="65"/>
      <c r="C34" s="65"/>
      <c r="D34" s="65"/>
      <c r="E34" s="65"/>
      <c r="F34" s="65"/>
      <c r="G34" s="65"/>
      <c r="H34" s="64"/>
    </row>
    <row r="35" spans="1:8">
      <c r="A35" s="64"/>
      <c r="B35" s="65"/>
      <c r="C35" s="65"/>
      <c r="D35" s="65"/>
      <c r="E35" s="65"/>
      <c r="F35" s="65"/>
      <c r="G35" s="65"/>
      <c r="H35" s="64"/>
    </row>
    <row r="36" spans="1:8">
      <c r="A36" s="64"/>
      <c r="B36" s="65"/>
      <c r="C36" s="65"/>
      <c r="D36" s="65"/>
      <c r="E36" s="65"/>
      <c r="F36" s="65"/>
      <c r="G36" s="65"/>
      <c r="H36" s="64"/>
    </row>
    <row r="37" spans="1:8">
      <c r="A37" s="64"/>
      <c r="B37" s="65"/>
      <c r="C37" s="65"/>
      <c r="D37" s="65"/>
      <c r="E37" s="65"/>
      <c r="F37" s="65"/>
      <c r="G37" s="65"/>
      <c r="H37" s="64"/>
    </row>
    <row r="38" spans="1:8">
      <c r="A38" s="64"/>
      <c r="B38" s="65"/>
      <c r="C38" s="65"/>
      <c r="D38" s="65"/>
      <c r="E38" s="65"/>
      <c r="F38" s="65"/>
      <c r="G38" s="65"/>
      <c r="H38" s="64"/>
    </row>
    <row r="39" spans="1:8">
      <c r="A39" s="64"/>
      <c r="B39" s="65"/>
      <c r="C39" s="65"/>
      <c r="D39" s="65"/>
      <c r="E39" s="65"/>
      <c r="F39" s="65"/>
      <c r="G39" s="65"/>
      <c r="H39" s="64"/>
    </row>
    <row r="40" spans="1:8">
      <c r="A40" s="64"/>
      <c r="B40" s="65"/>
      <c r="C40" s="65"/>
      <c r="D40" s="65"/>
      <c r="E40" s="65"/>
      <c r="F40" s="65"/>
      <c r="G40" s="65"/>
      <c r="H40" s="64"/>
    </row>
    <row r="41" spans="1:8">
      <c r="A41" s="64"/>
      <c r="B41" s="65"/>
      <c r="C41" s="65"/>
      <c r="D41" s="65"/>
      <c r="E41" s="65"/>
      <c r="F41" s="65"/>
      <c r="G41" s="65"/>
      <c r="H41" s="64"/>
    </row>
    <row r="42" spans="1:8">
      <c r="A42" s="64"/>
      <c r="B42" s="65"/>
      <c r="C42" s="65"/>
      <c r="D42" s="65"/>
      <c r="E42" s="65"/>
      <c r="F42" s="65"/>
      <c r="G42" s="65"/>
      <c r="H42" s="64"/>
    </row>
    <row r="43" spans="1:8">
      <c r="A43" s="64"/>
      <c r="B43" s="65"/>
      <c r="C43" s="65"/>
      <c r="D43" s="65"/>
      <c r="E43" s="65"/>
      <c r="F43" s="65"/>
      <c r="G43" s="65"/>
      <c r="H43" s="64"/>
    </row>
    <row r="44" spans="1:8">
      <c r="A44" s="64"/>
      <c r="B44" s="65"/>
      <c r="C44" s="65"/>
      <c r="D44" s="65"/>
      <c r="E44" s="65"/>
      <c r="F44" s="65"/>
      <c r="G44" s="65"/>
      <c r="H44" s="64"/>
    </row>
    <row r="45" spans="1:8">
      <c r="A45" s="64"/>
      <c r="B45" s="65"/>
      <c r="C45" s="65"/>
      <c r="D45" s="65"/>
      <c r="E45" s="65"/>
      <c r="F45" s="65"/>
      <c r="G45" s="65"/>
      <c r="H45" s="64"/>
    </row>
    <row r="46" spans="1:8">
      <c r="A46" s="64"/>
      <c r="B46" s="65"/>
      <c r="C46" s="65"/>
      <c r="D46" s="65"/>
      <c r="E46" s="65"/>
      <c r="F46" s="65"/>
      <c r="G46" s="65"/>
      <c r="H46" s="64"/>
    </row>
    <row r="47" spans="1:8">
      <c r="A47" s="64"/>
      <c r="B47" s="65"/>
      <c r="C47" s="65"/>
      <c r="D47" s="65"/>
      <c r="E47" s="65"/>
      <c r="F47" s="65"/>
      <c r="G47" s="65"/>
      <c r="H47" s="64"/>
    </row>
    <row r="48" spans="1:8">
      <c r="A48" s="64"/>
      <c r="B48" s="65"/>
      <c r="C48" s="65"/>
      <c r="D48" s="65"/>
      <c r="E48" s="65"/>
      <c r="F48" s="65"/>
      <c r="G48" s="65"/>
      <c r="H48" s="64"/>
    </row>
    <row r="49" spans="1:8">
      <c r="A49" s="64"/>
      <c r="B49" s="65"/>
      <c r="C49" s="65"/>
      <c r="D49" s="65"/>
      <c r="E49" s="65"/>
      <c r="F49" s="65"/>
      <c r="G49" s="65"/>
      <c r="H49" s="64"/>
    </row>
    <row r="50" spans="1:8">
      <c r="A50" s="64"/>
      <c r="B50" s="65"/>
      <c r="C50" s="65"/>
      <c r="D50" s="65"/>
      <c r="E50" s="65"/>
      <c r="F50" s="65"/>
      <c r="G50" s="65"/>
      <c r="H50" s="64"/>
    </row>
    <row r="51" spans="1:8">
      <c r="A51" s="64"/>
      <c r="B51" s="65"/>
      <c r="C51" s="65"/>
      <c r="D51" s="65"/>
      <c r="E51" s="65"/>
      <c r="F51" s="65"/>
      <c r="G51" s="65"/>
      <c r="H51" s="64"/>
    </row>
    <row r="52" spans="1:8">
      <c r="A52" s="64"/>
      <c r="B52" s="65"/>
      <c r="C52" s="65"/>
      <c r="D52" s="65"/>
      <c r="E52" s="65"/>
      <c r="F52" s="65"/>
      <c r="G52" s="65"/>
      <c r="H52" s="64"/>
    </row>
    <row r="53" spans="1:8">
      <c r="A53" s="64"/>
      <c r="B53" s="65"/>
      <c r="C53" s="65"/>
      <c r="D53" s="65"/>
      <c r="E53" s="65"/>
      <c r="F53" s="65"/>
      <c r="G53" s="65"/>
      <c r="H53" s="64"/>
    </row>
    <row r="54" spans="1:8">
      <c r="A54" s="64"/>
      <c r="B54" s="65"/>
      <c r="C54" s="65"/>
      <c r="D54" s="65"/>
      <c r="E54" s="65"/>
      <c r="F54" s="65"/>
      <c r="G54" s="65"/>
      <c r="H54" s="64"/>
    </row>
    <row r="55" spans="1:8">
      <c r="A55" s="64"/>
      <c r="B55" s="65"/>
      <c r="C55" s="65"/>
      <c r="D55" s="65"/>
      <c r="E55" s="65"/>
      <c r="F55" s="65"/>
      <c r="G55" s="65"/>
      <c r="H55" s="64"/>
    </row>
    <row r="56" spans="1:8">
      <c r="A56" s="64"/>
      <c r="B56" s="65"/>
      <c r="C56" s="65"/>
      <c r="D56" s="65"/>
      <c r="E56" s="65"/>
      <c r="F56" s="65"/>
      <c r="G56" s="65"/>
      <c r="H56" s="64"/>
    </row>
    <row r="57" spans="1:8">
      <c r="A57" s="64"/>
      <c r="B57" s="65"/>
      <c r="C57" s="65"/>
      <c r="D57" s="65"/>
      <c r="E57" s="65"/>
      <c r="F57" s="65"/>
      <c r="G57" s="65"/>
      <c r="H57" s="64"/>
    </row>
    <row r="58" spans="1:8">
      <c r="A58" s="64"/>
      <c r="B58" s="65"/>
      <c r="C58" s="65"/>
      <c r="D58" s="65"/>
      <c r="E58" s="65"/>
      <c r="F58" s="65"/>
      <c r="G58" s="65"/>
      <c r="H58" s="64"/>
    </row>
    <row r="59" spans="1:8">
      <c r="A59" s="64"/>
      <c r="B59" s="65"/>
      <c r="C59" s="65"/>
      <c r="D59" s="65"/>
      <c r="E59" s="65"/>
      <c r="F59" s="65"/>
      <c r="G59" s="65"/>
      <c r="H59" s="64"/>
    </row>
    <row r="60" spans="1:8">
      <c r="A60" s="64"/>
      <c r="B60" s="65"/>
      <c r="C60" s="65"/>
      <c r="D60" s="65"/>
      <c r="E60" s="65"/>
      <c r="F60" s="65"/>
      <c r="G60" s="65"/>
      <c r="H60" s="64"/>
    </row>
    <row r="61" spans="1:8">
      <c r="A61" s="64"/>
      <c r="B61" s="65"/>
      <c r="C61" s="65"/>
      <c r="D61" s="65"/>
      <c r="E61" s="65"/>
      <c r="F61" s="65"/>
      <c r="G61" s="65"/>
      <c r="H61" s="64"/>
    </row>
    <row r="62" spans="1:8">
      <c r="A62" s="64"/>
      <c r="B62" s="65"/>
      <c r="C62" s="65"/>
      <c r="D62" s="65"/>
      <c r="E62" s="65"/>
      <c r="F62" s="65"/>
      <c r="G62" s="65"/>
      <c r="H62" s="64"/>
    </row>
    <row r="63" spans="1:8">
      <c r="A63" s="64"/>
      <c r="B63" s="65"/>
      <c r="C63" s="65"/>
      <c r="D63" s="65"/>
      <c r="E63" s="65"/>
      <c r="F63" s="65"/>
      <c r="G63" s="65"/>
      <c r="H63" s="64"/>
    </row>
    <row r="64" spans="1:8">
      <c r="A64" s="64"/>
      <c r="B64" s="65"/>
      <c r="C64" s="65"/>
      <c r="D64" s="65"/>
      <c r="E64" s="65"/>
      <c r="F64" s="65"/>
      <c r="G64" s="65"/>
      <c r="H64" s="64"/>
    </row>
    <row r="65" spans="1:8">
      <c r="A65" s="64"/>
      <c r="B65" s="65"/>
      <c r="C65" s="65"/>
      <c r="D65" s="65"/>
      <c r="E65" s="65"/>
      <c r="F65" s="65"/>
      <c r="G65" s="65"/>
      <c r="H65" s="64"/>
    </row>
    <row r="66" spans="1:8">
      <c r="A66" s="64"/>
      <c r="B66" s="65"/>
      <c r="C66" s="65"/>
      <c r="D66" s="65"/>
      <c r="E66" s="65"/>
      <c r="F66" s="65"/>
      <c r="G66" s="65"/>
      <c r="H66" s="64"/>
    </row>
    <row r="67" spans="1:8">
      <c r="A67" s="64"/>
      <c r="B67" s="65"/>
      <c r="C67" s="65"/>
      <c r="D67" s="65"/>
      <c r="E67" s="65"/>
      <c r="F67" s="65"/>
      <c r="G67" s="65"/>
      <c r="H67" s="64"/>
    </row>
    <row r="68" spans="1:8">
      <c r="A68" s="64"/>
      <c r="B68" s="65"/>
      <c r="C68" s="65"/>
      <c r="D68" s="65"/>
      <c r="E68" s="65"/>
      <c r="F68" s="65"/>
      <c r="G68" s="65"/>
      <c r="H68" s="64"/>
    </row>
    <row r="69" spans="1:8">
      <c r="A69" s="64"/>
      <c r="B69" s="65"/>
      <c r="C69" s="65"/>
      <c r="D69" s="65"/>
      <c r="E69" s="65"/>
      <c r="F69" s="65"/>
      <c r="G69" s="65"/>
      <c r="H69" s="64"/>
    </row>
    <row r="70" spans="1:8">
      <c r="A70" s="64"/>
      <c r="B70" s="65"/>
      <c r="C70" s="65"/>
      <c r="D70" s="65"/>
      <c r="E70" s="65"/>
      <c r="F70" s="65"/>
      <c r="G70" s="65"/>
      <c r="H70" s="64"/>
    </row>
    <row r="71" spans="1:8">
      <c r="A71" s="64"/>
      <c r="B71" s="65"/>
      <c r="C71" s="65"/>
      <c r="D71" s="65"/>
      <c r="E71" s="65"/>
      <c r="F71" s="65"/>
      <c r="G71" s="65"/>
      <c r="H71" s="64"/>
    </row>
    <row r="72" spans="1:8">
      <c r="A72" s="64"/>
      <c r="B72" s="65"/>
      <c r="C72" s="65"/>
      <c r="D72" s="65"/>
      <c r="E72" s="65"/>
      <c r="F72" s="65"/>
      <c r="G72" s="65"/>
      <c r="H72" s="64"/>
    </row>
    <row r="73" spans="1:8">
      <c r="A73" s="64"/>
      <c r="B73" s="65"/>
      <c r="C73" s="65"/>
      <c r="D73" s="65"/>
      <c r="E73" s="65"/>
      <c r="F73" s="65"/>
      <c r="G73" s="65"/>
      <c r="H73" s="64"/>
    </row>
    <row r="74" spans="1:8">
      <c r="A74" s="64"/>
      <c r="B74" s="65"/>
      <c r="C74" s="65"/>
      <c r="D74" s="65"/>
      <c r="E74" s="65"/>
      <c r="F74" s="65"/>
      <c r="G74" s="65"/>
      <c r="H74" s="64"/>
    </row>
    <row r="75" spans="1:8">
      <c r="A75" s="64"/>
      <c r="B75" s="65"/>
      <c r="C75" s="65"/>
      <c r="D75" s="65"/>
      <c r="E75" s="65"/>
      <c r="F75" s="65"/>
      <c r="G75" s="65"/>
      <c r="H75" s="64"/>
    </row>
    <row r="76" spans="1:8">
      <c r="A76" s="64"/>
      <c r="B76" s="65"/>
      <c r="C76" s="65"/>
      <c r="D76" s="65"/>
      <c r="E76" s="65"/>
      <c r="F76" s="65"/>
      <c r="G76" s="65"/>
      <c r="H76" s="64"/>
    </row>
    <row r="77" spans="1:8">
      <c r="A77" s="64"/>
      <c r="B77" s="65"/>
      <c r="C77" s="65"/>
      <c r="D77" s="65"/>
      <c r="E77" s="65"/>
      <c r="F77" s="65"/>
      <c r="G77" s="65"/>
      <c r="H77" s="64"/>
    </row>
    <row r="78" spans="1:8">
      <c r="A78" s="64"/>
      <c r="B78" s="65"/>
      <c r="C78" s="65"/>
      <c r="D78" s="65"/>
      <c r="E78" s="65"/>
      <c r="F78" s="65"/>
      <c r="G78" s="65"/>
      <c r="H78" s="64"/>
    </row>
    <row r="79" spans="1:8">
      <c r="A79" s="64"/>
      <c r="B79" s="65"/>
      <c r="C79" s="65"/>
      <c r="D79" s="65"/>
      <c r="E79" s="65"/>
      <c r="F79" s="65"/>
      <c r="G79" s="65"/>
      <c r="H79" s="64"/>
    </row>
    <row r="80" spans="1:8">
      <c r="A80" s="64"/>
      <c r="B80" s="65"/>
      <c r="C80" s="65"/>
      <c r="D80" s="65"/>
      <c r="E80" s="65"/>
      <c r="F80" s="65"/>
      <c r="G80" s="65"/>
      <c r="H80" s="64"/>
    </row>
    <row r="81" spans="1:8">
      <c r="A81" s="64"/>
      <c r="B81" s="65"/>
      <c r="C81" s="65"/>
      <c r="D81" s="65"/>
      <c r="E81" s="65"/>
      <c r="F81" s="65"/>
      <c r="G81" s="65"/>
      <c r="H81" s="64"/>
    </row>
    <row r="82" spans="1:8">
      <c r="A82" s="64"/>
      <c r="B82" s="65"/>
      <c r="C82" s="65"/>
      <c r="D82" s="65"/>
      <c r="E82" s="65"/>
      <c r="F82" s="65"/>
      <c r="G82" s="65"/>
      <c r="H82" s="64"/>
    </row>
    <row r="83" spans="1:8">
      <c r="A83" s="64"/>
      <c r="B83" s="65"/>
      <c r="C83" s="65"/>
      <c r="D83" s="65"/>
      <c r="E83" s="65"/>
      <c r="F83" s="65"/>
      <c r="G83" s="65"/>
      <c r="H83" s="64"/>
    </row>
    <row r="84" spans="1:8">
      <c r="A84" s="64"/>
      <c r="B84" s="65"/>
      <c r="C84" s="65"/>
      <c r="D84" s="65"/>
      <c r="E84" s="65"/>
      <c r="F84" s="65"/>
      <c r="G84" s="65"/>
      <c r="H84" s="64"/>
    </row>
    <row r="85" spans="1:8">
      <c r="A85" s="64"/>
      <c r="B85" s="65"/>
      <c r="C85" s="65"/>
      <c r="D85" s="65"/>
      <c r="E85" s="65"/>
      <c r="F85" s="65"/>
      <c r="G85" s="65"/>
      <c r="H85" s="64"/>
    </row>
    <row r="86" spans="1:8">
      <c r="A86" s="64"/>
      <c r="B86" s="65"/>
      <c r="C86" s="65"/>
      <c r="D86" s="65"/>
      <c r="E86" s="65"/>
      <c r="F86" s="65"/>
      <c r="G86" s="65"/>
      <c r="H86" s="64"/>
    </row>
    <row r="87" spans="1:8">
      <c r="A87" s="64"/>
      <c r="B87" s="65"/>
      <c r="C87" s="65"/>
      <c r="D87" s="65"/>
      <c r="E87" s="65"/>
      <c r="F87" s="65"/>
      <c r="G87" s="65"/>
      <c r="H87" s="64"/>
    </row>
    <row r="88" spans="1:8">
      <c r="A88" s="64"/>
      <c r="B88" s="65"/>
      <c r="C88" s="65"/>
      <c r="D88" s="65"/>
      <c r="E88" s="65"/>
      <c r="F88" s="65"/>
      <c r="G88" s="65"/>
      <c r="H88" s="64"/>
    </row>
    <row r="89" spans="1:8">
      <c r="A89" s="64"/>
      <c r="B89" s="65"/>
      <c r="C89" s="65"/>
      <c r="D89" s="65"/>
      <c r="E89" s="65"/>
      <c r="F89" s="65"/>
      <c r="G89" s="65"/>
      <c r="H89" s="64"/>
    </row>
    <row r="90" spans="1:8">
      <c r="A90" s="64"/>
      <c r="B90" s="65"/>
      <c r="C90" s="65"/>
      <c r="D90" s="65"/>
      <c r="E90" s="65"/>
      <c r="F90" s="65"/>
      <c r="G90" s="65"/>
      <c r="H90" s="64"/>
    </row>
    <row r="91" spans="1:8">
      <c r="A91" s="64"/>
      <c r="B91" s="65"/>
      <c r="C91" s="65"/>
      <c r="D91" s="65"/>
      <c r="E91" s="65"/>
      <c r="F91" s="65"/>
      <c r="G91" s="65"/>
      <c r="H91" s="64"/>
    </row>
    <row r="92" spans="1:8">
      <c r="A92" s="64"/>
      <c r="B92" s="65"/>
      <c r="C92" s="65"/>
      <c r="D92" s="65"/>
      <c r="E92" s="65"/>
      <c r="F92" s="65"/>
      <c r="G92" s="65"/>
      <c r="H92" s="64"/>
    </row>
    <row r="93" spans="1:8">
      <c r="A93" s="64"/>
      <c r="B93" s="65"/>
      <c r="C93" s="65"/>
      <c r="D93" s="65"/>
      <c r="E93" s="65"/>
      <c r="F93" s="65"/>
      <c r="G93" s="65"/>
      <c r="H93" s="64"/>
    </row>
    <row r="94" spans="1:8">
      <c r="A94" s="64"/>
      <c r="B94" s="65"/>
      <c r="C94" s="65"/>
      <c r="D94" s="65"/>
      <c r="E94" s="65"/>
      <c r="F94" s="65"/>
      <c r="G94" s="65"/>
      <c r="H94" s="64"/>
    </row>
    <row r="95" spans="1:8">
      <c r="A95" s="64"/>
      <c r="B95" s="65"/>
      <c r="C95" s="65"/>
      <c r="D95" s="65"/>
      <c r="E95" s="65"/>
      <c r="F95" s="65"/>
      <c r="G95" s="65"/>
      <c r="H95" s="64"/>
    </row>
    <row r="96" spans="1:8">
      <c r="A96" s="64"/>
      <c r="B96" s="65"/>
      <c r="C96" s="65"/>
      <c r="D96" s="65"/>
      <c r="E96" s="65"/>
      <c r="F96" s="65"/>
      <c r="G96" s="65"/>
      <c r="H96" s="64"/>
    </row>
    <row r="97" spans="1:8">
      <c r="A97" s="64"/>
      <c r="B97" s="65"/>
      <c r="C97" s="65"/>
      <c r="D97" s="65"/>
      <c r="E97" s="65"/>
      <c r="F97" s="65"/>
      <c r="G97" s="65"/>
      <c r="H97" s="64"/>
    </row>
    <row r="98" spans="1:8">
      <c r="A98" s="64"/>
      <c r="B98" s="65"/>
      <c r="C98" s="65"/>
      <c r="D98" s="65"/>
      <c r="E98" s="65"/>
      <c r="F98" s="65"/>
      <c r="G98" s="65"/>
      <c r="H98" s="64"/>
    </row>
    <row r="99" spans="1:8">
      <c r="A99" s="64"/>
      <c r="B99" s="65"/>
      <c r="C99" s="65"/>
      <c r="D99" s="65"/>
      <c r="E99" s="65"/>
      <c r="F99" s="65"/>
      <c r="G99" s="65"/>
      <c r="H99" s="64"/>
    </row>
    <row r="100" spans="1:8">
      <c r="A100" s="64"/>
      <c r="B100" s="65"/>
      <c r="C100" s="65"/>
      <c r="D100" s="65"/>
      <c r="E100" s="65"/>
      <c r="F100" s="65"/>
      <c r="G100" s="65"/>
      <c r="H100" s="64"/>
    </row>
    <row r="101" spans="1:8">
      <c r="A101" s="64"/>
      <c r="B101" s="65"/>
      <c r="C101" s="65"/>
      <c r="D101" s="65"/>
      <c r="E101" s="65"/>
      <c r="F101" s="65"/>
      <c r="G101" s="65"/>
      <c r="H101" s="64"/>
    </row>
    <row r="102" spans="1:8">
      <c r="A102" s="64"/>
      <c r="B102" s="65"/>
      <c r="C102" s="65"/>
      <c r="D102" s="65"/>
      <c r="E102" s="65"/>
      <c r="F102" s="65"/>
      <c r="G102" s="65"/>
      <c r="H102" s="64"/>
    </row>
    <row r="103" spans="1:8">
      <c r="A103" s="64"/>
      <c r="B103" s="65"/>
      <c r="C103" s="65"/>
      <c r="D103" s="65"/>
      <c r="E103" s="65"/>
      <c r="F103" s="65"/>
      <c r="G103" s="65"/>
      <c r="H103" s="64"/>
    </row>
    <row r="104" spans="1:8">
      <c r="A104" s="64"/>
      <c r="B104" s="65"/>
      <c r="C104" s="65"/>
      <c r="D104" s="65"/>
      <c r="E104" s="65"/>
      <c r="F104" s="65"/>
      <c r="G104" s="65"/>
      <c r="H104" s="64"/>
    </row>
    <row r="105" spans="1:8">
      <c r="A105" s="64"/>
      <c r="B105" s="65"/>
      <c r="C105" s="65"/>
      <c r="D105" s="65"/>
      <c r="E105" s="65"/>
      <c r="F105" s="65"/>
      <c r="G105" s="65"/>
      <c r="H105" s="64"/>
    </row>
    <row r="106" spans="1:8">
      <c r="A106" s="64"/>
      <c r="B106" s="65"/>
      <c r="C106" s="65"/>
      <c r="D106" s="65"/>
      <c r="E106" s="65"/>
      <c r="F106" s="65"/>
      <c r="G106" s="65"/>
      <c r="H106" s="64"/>
    </row>
    <row r="107" spans="1:8">
      <c r="A107" s="64"/>
      <c r="B107" s="65"/>
      <c r="C107" s="65"/>
      <c r="D107" s="65"/>
      <c r="E107" s="65"/>
      <c r="F107" s="65"/>
      <c r="G107" s="65"/>
      <c r="H107" s="64"/>
    </row>
    <row r="108" spans="1:8">
      <c r="A108" s="64"/>
      <c r="B108" s="65"/>
      <c r="C108" s="65"/>
      <c r="D108" s="65"/>
      <c r="E108" s="65"/>
      <c r="F108" s="65"/>
      <c r="G108" s="65"/>
      <c r="H108" s="64"/>
    </row>
    <row r="109" spans="1:8">
      <c r="A109" s="64"/>
      <c r="B109" s="65"/>
      <c r="C109" s="65"/>
      <c r="D109" s="65"/>
      <c r="E109" s="65"/>
      <c r="F109" s="65"/>
      <c r="G109" s="65"/>
      <c r="H109" s="64"/>
    </row>
    <row r="110" spans="1:8">
      <c r="A110" s="64"/>
      <c r="B110" s="65"/>
      <c r="C110" s="65"/>
      <c r="D110" s="65"/>
      <c r="E110" s="65"/>
      <c r="F110" s="65"/>
      <c r="G110" s="65"/>
      <c r="H110" s="64"/>
    </row>
    <row r="111" spans="1:8">
      <c r="A111" s="64"/>
      <c r="B111" s="65"/>
      <c r="C111" s="65"/>
      <c r="D111" s="65"/>
      <c r="E111" s="65"/>
      <c r="F111" s="65"/>
      <c r="G111" s="65"/>
      <c r="H111" s="64"/>
    </row>
    <row r="112" spans="1:8">
      <c r="A112" s="64"/>
      <c r="B112" s="65"/>
      <c r="C112" s="65"/>
      <c r="D112" s="65"/>
      <c r="E112" s="65"/>
      <c r="F112" s="65"/>
      <c r="G112" s="65"/>
      <c r="H112" s="64"/>
    </row>
    <row r="113" spans="1:8">
      <c r="A113" s="64"/>
      <c r="B113" s="65"/>
      <c r="C113" s="65"/>
      <c r="D113" s="65"/>
      <c r="E113" s="65"/>
      <c r="F113" s="65"/>
      <c r="G113" s="65"/>
      <c r="H113" s="64"/>
    </row>
    <row r="114" spans="1:8">
      <c r="A114" s="64"/>
      <c r="B114" s="65"/>
      <c r="C114" s="65"/>
      <c r="D114" s="65"/>
      <c r="E114" s="65"/>
      <c r="F114" s="65"/>
      <c r="G114" s="65"/>
      <c r="H114" s="64"/>
    </row>
    <row r="115" spans="1:8">
      <c r="A115" s="64"/>
      <c r="B115" s="65"/>
      <c r="C115" s="65"/>
      <c r="D115" s="65"/>
      <c r="E115" s="65"/>
      <c r="F115" s="65"/>
      <c r="G115" s="65"/>
      <c r="H115" s="64"/>
    </row>
    <row r="116" spans="1:8">
      <c r="A116" s="64"/>
      <c r="B116" s="65"/>
      <c r="C116" s="65"/>
      <c r="D116" s="65"/>
      <c r="E116" s="65"/>
      <c r="F116" s="65"/>
      <c r="G116" s="65"/>
      <c r="H116" s="64"/>
    </row>
    <row r="117" spans="1:8">
      <c r="A117" s="64"/>
      <c r="B117" s="65"/>
      <c r="C117" s="65"/>
      <c r="D117" s="65"/>
      <c r="E117" s="65"/>
      <c r="F117" s="65"/>
      <c r="G117" s="65"/>
      <c r="H117" s="64"/>
    </row>
    <row r="118" spans="1:8">
      <c r="A118" s="64"/>
      <c r="B118" s="65"/>
      <c r="C118" s="65"/>
      <c r="D118" s="65"/>
      <c r="E118" s="65"/>
      <c r="F118" s="65"/>
      <c r="G118" s="65"/>
      <c r="H118" s="64"/>
    </row>
    <row r="119" spans="1:8">
      <c r="A119" s="64"/>
      <c r="B119" s="65"/>
      <c r="C119" s="65"/>
      <c r="D119" s="65"/>
      <c r="E119" s="65"/>
      <c r="F119" s="65"/>
      <c r="G119" s="65"/>
      <c r="H119" s="64"/>
    </row>
    <row r="120" spans="1:8">
      <c r="A120" s="64"/>
      <c r="B120" s="65"/>
      <c r="C120" s="65"/>
      <c r="D120" s="65"/>
      <c r="E120" s="65"/>
      <c r="F120" s="65"/>
      <c r="G120" s="65"/>
      <c r="H120" s="64"/>
    </row>
    <row r="121" spans="1:8">
      <c r="A121" s="64"/>
      <c r="B121" s="65"/>
      <c r="C121" s="65"/>
      <c r="D121" s="65"/>
      <c r="E121" s="65"/>
      <c r="F121" s="65"/>
      <c r="G121" s="65"/>
      <c r="H121" s="64"/>
    </row>
    <row r="122" spans="1:8">
      <c r="A122" s="64"/>
      <c r="B122" s="65"/>
      <c r="C122" s="65"/>
      <c r="D122" s="65"/>
      <c r="E122" s="65"/>
      <c r="F122" s="65"/>
      <c r="G122" s="65"/>
      <c r="H122" s="64"/>
    </row>
    <row r="123" spans="1:8">
      <c r="A123" s="64"/>
      <c r="B123" s="65"/>
      <c r="C123" s="65"/>
      <c r="D123" s="65"/>
      <c r="E123" s="65"/>
      <c r="F123" s="65"/>
      <c r="G123" s="65"/>
      <c r="H123" s="64"/>
    </row>
    <row r="124" spans="1:8">
      <c r="A124" s="64"/>
      <c r="B124" s="65"/>
      <c r="C124" s="65"/>
      <c r="D124" s="65"/>
      <c r="E124" s="65"/>
      <c r="F124" s="65"/>
      <c r="G124" s="65"/>
      <c r="H124" s="64"/>
    </row>
    <row r="125" spans="1:8">
      <c r="A125" s="64"/>
      <c r="B125" s="65"/>
      <c r="C125" s="65"/>
      <c r="D125" s="65"/>
      <c r="E125" s="65"/>
      <c r="F125" s="65"/>
      <c r="G125" s="65"/>
      <c r="H125" s="64"/>
    </row>
    <row r="126" spans="1:8">
      <c r="A126" s="64"/>
      <c r="B126" s="65"/>
      <c r="C126" s="65"/>
      <c r="D126" s="65"/>
      <c r="E126" s="65"/>
      <c r="F126" s="65"/>
      <c r="G126" s="65"/>
      <c r="H126" s="64"/>
    </row>
    <row r="127" spans="1:8">
      <c r="A127" s="64"/>
      <c r="B127" s="65"/>
      <c r="C127" s="65"/>
      <c r="D127" s="65"/>
      <c r="E127" s="65"/>
      <c r="F127" s="65"/>
      <c r="G127" s="65"/>
      <c r="H127" s="64"/>
    </row>
    <row r="128" spans="1:8">
      <c r="A128" s="64"/>
      <c r="B128" s="65"/>
      <c r="C128" s="65"/>
      <c r="D128" s="65"/>
      <c r="E128" s="65"/>
      <c r="F128" s="65"/>
      <c r="G128" s="65"/>
      <c r="H128" s="64"/>
    </row>
    <row r="129" spans="1:8">
      <c r="A129" s="64"/>
      <c r="B129" s="65"/>
      <c r="C129" s="65"/>
      <c r="D129" s="65"/>
      <c r="E129" s="65"/>
      <c r="F129" s="65"/>
      <c r="G129" s="65"/>
      <c r="H129" s="64"/>
    </row>
    <row r="130" spans="1:8">
      <c r="A130" s="64"/>
      <c r="B130" s="65"/>
      <c r="C130" s="65"/>
      <c r="D130" s="65"/>
      <c r="E130" s="65"/>
      <c r="F130" s="65"/>
      <c r="G130" s="65"/>
      <c r="H130" s="64"/>
    </row>
    <row r="131" spans="1:8">
      <c r="A131" s="64"/>
      <c r="B131" s="65"/>
      <c r="C131" s="65"/>
      <c r="D131" s="65"/>
      <c r="E131" s="65"/>
      <c r="F131" s="65"/>
      <c r="G131" s="65"/>
      <c r="H131" s="64"/>
    </row>
    <row r="132" spans="1:8">
      <c r="A132" s="64"/>
      <c r="B132" s="65"/>
      <c r="C132" s="65"/>
      <c r="D132" s="65"/>
      <c r="E132" s="65"/>
      <c r="F132" s="65"/>
      <c r="G132" s="65"/>
      <c r="H132" s="64"/>
    </row>
    <row r="133" spans="1:8">
      <c r="A133" s="64"/>
      <c r="B133" s="65"/>
      <c r="C133" s="65"/>
      <c r="D133" s="65"/>
      <c r="E133" s="65"/>
      <c r="F133" s="65"/>
      <c r="G133" s="65"/>
      <c r="H133" s="64"/>
    </row>
    <row r="134" spans="1:8">
      <c r="A134" s="64"/>
      <c r="B134" s="65"/>
      <c r="C134" s="65"/>
      <c r="D134" s="65"/>
      <c r="E134" s="65"/>
      <c r="F134" s="65"/>
      <c r="G134" s="65"/>
      <c r="H134" s="64"/>
    </row>
    <row r="135" spans="1:8">
      <c r="A135" s="64"/>
      <c r="B135" s="65"/>
      <c r="C135" s="65"/>
      <c r="D135" s="65"/>
      <c r="E135" s="65"/>
      <c r="F135" s="65"/>
      <c r="G135" s="65"/>
      <c r="H135" s="64"/>
    </row>
    <row r="136" spans="1:8">
      <c r="A136" s="64"/>
      <c r="B136" s="65"/>
      <c r="C136" s="65"/>
      <c r="D136" s="65"/>
      <c r="E136" s="65"/>
      <c r="F136" s="65"/>
      <c r="G136" s="65"/>
      <c r="H136" s="64"/>
    </row>
    <row r="137" spans="1:8">
      <c r="A137" s="64"/>
      <c r="B137" s="65"/>
      <c r="C137" s="65"/>
      <c r="D137" s="65"/>
      <c r="E137" s="65"/>
      <c r="F137" s="65"/>
      <c r="G137" s="65"/>
      <c r="H137" s="64"/>
    </row>
    <row r="138" spans="1:8">
      <c r="A138" s="64"/>
      <c r="B138" s="65"/>
      <c r="C138" s="65"/>
      <c r="D138" s="65"/>
      <c r="E138" s="65"/>
      <c r="F138" s="65"/>
      <c r="G138" s="65"/>
      <c r="H138" s="64"/>
    </row>
    <row r="139" spans="1:8">
      <c r="A139" s="64"/>
      <c r="B139" s="65"/>
      <c r="C139" s="65"/>
      <c r="D139" s="65"/>
      <c r="E139" s="65"/>
      <c r="F139" s="65"/>
      <c r="G139" s="65"/>
      <c r="H139" s="64"/>
    </row>
    <row r="140" spans="1:8">
      <c r="A140" s="64"/>
      <c r="B140" s="65"/>
      <c r="C140" s="65"/>
      <c r="D140" s="65"/>
      <c r="E140" s="65"/>
      <c r="F140" s="65"/>
      <c r="G140" s="65"/>
      <c r="H140" s="64"/>
    </row>
    <row r="141" spans="1:8">
      <c r="A141" s="64"/>
      <c r="B141" s="65"/>
      <c r="C141" s="65"/>
      <c r="D141" s="65"/>
      <c r="E141" s="65"/>
      <c r="F141" s="65"/>
      <c r="G141" s="65"/>
      <c r="H141" s="64"/>
    </row>
    <row r="142" spans="1:8">
      <c r="A142" s="64"/>
      <c r="B142" s="65"/>
      <c r="C142" s="65"/>
      <c r="D142" s="65"/>
      <c r="E142" s="65"/>
      <c r="F142" s="65"/>
      <c r="G142" s="65"/>
      <c r="H142" s="64"/>
    </row>
    <row r="143" spans="1:8">
      <c r="A143" s="64"/>
      <c r="B143" s="65"/>
      <c r="C143" s="65"/>
      <c r="D143" s="65"/>
      <c r="E143" s="65"/>
      <c r="F143" s="65"/>
      <c r="G143" s="65"/>
      <c r="H143" s="64"/>
    </row>
    <row r="144" spans="1:8">
      <c r="A144" s="64"/>
      <c r="B144" s="65"/>
      <c r="C144" s="65"/>
      <c r="D144" s="65"/>
      <c r="E144" s="65"/>
      <c r="F144" s="65"/>
      <c r="G144" s="65"/>
      <c r="H144" s="64"/>
    </row>
    <row r="145" spans="1:8">
      <c r="A145" s="64"/>
      <c r="B145" s="65"/>
      <c r="C145" s="65"/>
      <c r="D145" s="65"/>
      <c r="E145" s="65"/>
      <c r="F145" s="65"/>
      <c r="G145" s="65"/>
      <c r="H145" s="64"/>
    </row>
    <row r="146" spans="1:8">
      <c r="A146" s="64"/>
      <c r="B146" s="65"/>
      <c r="C146" s="65"/>
      <c r="D146" s="65"/>
      <c r="E146" s="65"/>
      <c r="F146" s="65"/>
      <c r="G146" s="65"/>
      <c r="H146" s="64"/>
    </row>
    <row r="147" spans="1:8">
      <c r="A147" s="64"/>
      <c r="B147" s="65"/>
      <c r="C147" s="65"/>
      <c r="D147" s="65"/>
      <c r="E147" s="65"/>
      <c r="F147" s="65"/>
      <c r="G147" s="65"/>
      <c r="H147" s="64"/>
    </row>
    <row r="148" spans="1:8">
      <c r="A148" s="64"/>
      <c r="B148" s="65"/>
      <c r="C148" s="65"/>
      <c r="D148" s="65"/>
      <c r="E148" s="65"/>
      <c r="F148" s="65"/>
      <c r="G148" s="65"/>
      <c r="H148" s="64"/>
    </row>
    <row r="149" spans="1:8">
      <c r="A149" s="64"/>
      <c r="B149" s="65"/>
      <c r="C149" s="65"/>
      <c r="D149" s="65"/>
      <c r="E149" s="65"/>
      <c r="F149" s="65"/>
      <c r="G149" s="65"/>
      <c r="H149" s="64"/>
    </row>
    <row r="150" spans="1:8">
      <c r="A150" s="64"/>
      <c r="B150" s="65"/>
      <c r="C150" s="65"/>
      <c r="D150" s="65"/>
      <c r="E150" s="65"/>
      <c r="F150" s="65"/>
      <c r="G150" s="65"/>
      <c r="H150" s="64"/>
    </row>
    <row r="151" spans="1:8">
      <c r="A151" s="64"/>
      <c r="B151" s="65"/>
      <c r="C151" s="65"/>
      <c r="D151" s="65"/>
      <c r="E151" s="65"/>
      <c r="F151" s="65"/>
      <c r="G151" s="65"/>
      <c r="H151" s="64"/>
    </row>
    <row r="152" spans="1:8">
      <c r="A152" s="64"/>
      <c r="B152" s="65"/>
      <c r="C152" s="65"/>
      <c r="D152" s="65"/>
      <c r="E152" s="65"/>
      <c r="F152" s="65"/>
      <c r="G152" s="65"/>
      <c r="H152" s="64"/>
    </row>
    <row r="153" spans="1:8">
      <c r="A153" s="64"/>
      <c r="B153" s="65"/>
      <c r="C153" s="65"/>
      <c r="D153" s="65"/>
      <c r="E153" s="65"/>
      <c r="F153" s="65"/>
      <c r="G153" s="65"/>
      <c r="H153" s="64"/>
    </row>
    <row r="154" spans="1:8">
      <c r="A154" s="64"/>
      <c r="B154" s="65"/>
      <c r="C154" s="65"/>
      <c r="D154" s="65"/>
      <c r="E154" s="65"/>
      <c r="F154" s="65"/>
      <c r="G154" s="65"/>
      <c r="H154" s="64"/>
    </row>
    <row r="155" spans="1:8">
      <c r="A155" s="64"/>
      <c r="B155" s="65"/>
      <c r="C155" s="65"/>
      <c r="D155" s="65"/>
      <c r="E155" s="65"/>
      <c r="F155" s="65"/>
      <c r="G155" s="65"/>
      <c r="H155" s="64"/>
    </row>
    <row r="156" spans="1:8">
      <c r="A156" s="64"/>
      <c r="B156" s="65"/>
      <c r="C156" s="65"/>
      <c r="D156" s="65"/>
      <c r="E156" s="65"/>
      <c r="F156" s="65"/>
      <c r="G156" s="65"/>
      <c r="H156" s="64"/>
    </row>
    <row r="157" spans="1:8">
      <c r="A157" s="64"/>
      <c r="B157" s="65"/>
      <c r="C157" s="65"/>
      <c r="D157" s="65"/>
      <c r="E157" s="65"/>
      <c r="F157" s="65"/>
      <c r="G157" s="65"/>
      <c r="H157" s="64"/>
    </row>
    <row r="158" spans="1:8">
      <c r="A158" s="64"/>
      <c r="B158" s="65"/>
      <c r="C158" s="65"/>
      <c r="D158" s="65"/>
      <c r="E158" s="65"/>
      <c r="F158" s="65"/>
      <c r="G158" s="65"/>
      <c r="H158" s="64"/>
    </row>
    <row r="159" spans="1:8">
      <c r="A159" s="64"/>
      <c r="B159" s="65"/>
      <c r="C159" s="65"/>
      <c r="D159" s="65"/>
      <c r="E159" s="65"/>
      <c r="F159" s="65"/>
      <c r="G159" s="65"/>
      <c r="H159" s="64"/>
    </row>
    <row r="160" spans="1:8">
      <c r="A160" s="64"/>
      <c r="B160" s="65"/>
      <c r="C160" s="65"/>
      <c r="D160" s="65"/>
      <c r="E160" s="65"/>
      <c r="F160" s="65"/>
      <c r="G160" s="65"/>
      <c r="H160" s="64"/>
    </row>
    <row r="161" spans="1:8">
      <c r="A161" s="64"/>
      <c r="B161" s="65"/>
      <c r="C161" s="65"/>
      <c r="D161" s="65"/>
      <c r="E161" s="65"/>
      <c r="F161" s="65"/>
      <c r="G161" s="65"/>
      <c r="H161" s="64"/>
    </row>
    <row r="162" spans="1:8">
      <c r="A162" s="64"/>
      <c r="B162" s="65"/>
      <c r="C162" s="65"/>
      <c r="D162" s="65"/>
      <c r="E162" s="65"/>
      <c r="F162" s="65"/>
      <c r="G162" s="65"/>
      <c r="H162" s="64"/>
    </row>
    <row r="163" spans="1:8">
      <c r="A163" s="64"/>
      <c r="B163" s="65"/>
      <c r="C163" s="65"/>
      <c r="D163" s="65"/>
      <c r="E163" s="65"/>
      <c r="F163" s="65"/>
      <c r="G163" s="65"/>
      <c r="H163" s="64"/>
    </row>
    <row r="164" spans="1:8">
      <c r="A164" s="64"/>
      <c r="B164" s="65"/>
      <c r="C164" s="65"/>
      <c r="D164" s="65"/>
      <c r="E164" s="65"/>
      <c r="F164" s="65"/>
      <c r="G164" s="65"/>
      <c r="H164" s="64"/>
    </row>
    <row r="165" spans="1:8">
      <c r="A165" s="64"/>
      <c r="B165" s="65"/>
      <c r="C165" s="65"/>
      <c r="D165" s="65"/>
      <c r="E165" s="65"/>
      <c r="F165" s="65"/>
      <c r="G165" s="65"/>
      <c r="H165" s="64"/>
    </row>
    <row r="166" spans="1:8">
      <c r="A166" s="64"/>
      <c r="B166" s="65"/>
      <c r="C166" s="65"/>
      <c r="D166" s="65"/>
      <c r="E166" s="65"/>
      <c r="F166" s="65"/>
      <c r="G166" s="65"/>
      <c r="H166" s="64"/>
    </row>
    <row r="167" spans="1:8">
      <c r="A167" s="64"/>
      <c r="B167" s="65"/>
      <c r="C167" s="65"/>
      <c r="D167" s="65"/>
      <c r="E167" s="65"/>
      <c r="F167" s="65"/>
      <c r="G167" s="65"/>
      <c r="H167" s="64"/>
    </row>
    <row r="168" spans="1:8">
      <c r="A168" s="64"/>
      <c r="B168" s="65"/>
      <c r="C168" s="65"/>
      <c r="D168" s="65"/>
      <c r="E168" s="65"/>
      <c r="F168" s="65"/>
      <c r="G168" s="65"/>
      <c r="H168" s="64"/>
    </row>
    <row r="169" spans="1:8">
      <c r="A169" s="64"/>
      <c r="B169" s="65"/>
      <c r="C169" s="65"/>
      <c r="D169" s="65"/>
      <c r="E169" s="65"/>
      <c r="F169" s="65"/>
      <c r="G169" s="65"/>
      <c r="H169" s="64"/>
    </row>
    <row r="170" spans="1:8">
      <c r="A170" s="64"/>
      <c r="B170" s="65"/>
      <c r="C170" s="65"/>
      <c r="D170" s="65"/>
      <c r="E170" s="65"/>
      <c r="F170" s="65"/>
      <c r="G170" s="65"/>
      <c r="H170" s="64"/>
    </row>
    <row r="171" spans="1:8">
      <c r="A171" s="64"/>
      <c r="B171" s="65"/>
      <c r="C171" s="65"/>
      <c r="D171" s="65"/>
      <c r="E171" s="65"/>
      <c r="F171" s="65"/>
      <c r="G171" s="65"/>
      <c r="H171" s="64"/>
    </row>
    <row r="172" spans="1:8">
      <c r="A172" s="64"/>
      <c r="B172" s="65"/>
      <c r="C172" s="65"/>
      <c r="D172" s="65"/>
      <c r="E172" s="65"/>
      <c r="F172" s="65"/>
      <c r="G172" s="65"/>
      <c r="H172" s="64"/>
    </row>
    <row r="173" spans="1:8">
      <c r="A173" s="64"/>
      <c r="B173" s="65"/>
      <c r="C173" s="65"/>
      <c r="D173" s="65"/>
      <c r="E173" s="65"/>
      <c r="F173" s="65"/>
      <c r="G173" s="65"/>
      <c r="H173" s="64"/>
    </row>
    <row r="174" spans="1:8">
      <c r="A174" s="64"/>
      <c r="B174" s="65"/>
      <c r="C174" s="65"/>
      <c r="D174" s="65"/>
      <c r="E174" s="65"/>
      <c r="F174" s="65"/>
      <c r="G174" s="65"/>
      <c r="H174" s="64"/>
    </row>
    <row r="175" spans="1:8">
      <c r="A175" s="64"/>
      <c r="B175" s="65"/>
      <c r="C175" s="65"/>
      <c r="D175" s="65"/>
      <c r="E175" s="65"/>
      <c r="F175" s="65"/>
      <c r="G175" s="65"/>
      <c r="H175" s="64"/>
    </row>
    <row r="176" spans="1:8">
      <c r="A176" s="64"/>
      <c r="B176" s="65"/>
      <c r="C176" s="65"/>
      <c r="D176" s="65"/>
      <c r="E176" s="65"/>
      <c r="F176" s="65"/>
      <c r="G176" s="65"/>
      <c r="H176" s="64"/>
    </row>
    <row r="177" spans="1:8">
      <c r="A177" s="64"/>
      <c r="B177" s="65"/>
      <c r="C177" s="65"/>
      <c r="D177" s="65"/>
      <c r="E177" s="65"/>
      <c r="F177" s="65"/>
      <c r="G177" s="65"/>
      <c r="H177" s="64"/>
    </row>
    <row r="178" spans="1:8">
      <c r="A178" s="64"/>
      <c r="B178" s="65"/>
      <c r="C178" s="65"/>
      <c r="D178" s="65"/>
      <c r="E178" s="65"/>
      <c r="F178" s="65"/>
      <c r="G178" s="65"/>
      <c r="H178" s="64"/>
    </row>
    <row r="179" spans="1:8">
      <c r="A179" s="64"/>
      <c r="B179" s="65"/>
      <c r="C179" s="65"/>
      <c r="D179" s="65"/>
      <c r="E179" s="65"/>
      <c r="F179" s="65"/>
      <c r="G179" s="65"/>
      <c r="H179" s="64"/>
    </row>
    <row r="180" spans="1:8">
      <c r="A180" s="64"/>
      <c r="B180" s="65"/>
      <c r="C180" s="65"/>
      <c r="D180" s="65"/>
      <c r="E180" s="65"/>
      <c r="F180" s="65"/>
      <c r="G180" s="65"/>
      <c r="H180" s="64"/>
    </row>
    <row r="181" spans="1:8">
      <c r="A181" s="64"/>
      <c r="B181" s="65"/>
      <c r="C181" s="65"/>
      <c r="D181" s="65"/>
      <c r="E181" s="65"/>
      <c r="F181" s="65"/>
      <c r="G181" s="65"/>
      <c r="H181" s="64"/>
    </row>
    <row r="182" spans="1:8">
      <c r="A182" s="64"/>
      <c r="B182" s="65"/>
      <c r="C182" s="65"/>
      <c r="D182" s="65"/>
      <c r="E182" s="65"/>
      <c r="F182" s="65"/>
      <c r="G182" s="65"/>
      <c r="H182" s="64"/>
    </row>
    <row r="183" spans="1:8">
      <c r="A183" s="64"/>
      <c r="B183" s="65"/>
      <c r="C183" s="65"/>
      <c r="D183" s="65"/>
      <c r="E183" s="65"/>
      <c r="F183" s="65"/>
      <c r="G183" s="65"/>
      <c r="H183" s="64"/>
    </row>
    <row r="184" spans="1:8">
      <c r="A184" s="64"/>
      <c r="B184" s="65"/>
      <c r="C184" s="65"/>
      <c r="D184" s="65"/>
      <c r="E184" s="65"/>
      <c r="F184" s="65"/>
      <c r="G184" s="65"/>
      <c r="H184" s="64"/>
    </row>
    <row r="185" spans="1:8">
      <c r="A185" s="64"/>
      <c r="B185" s="65"/>
      <c r="C185" s="65"/>
      <c r="D185" s="65"/>
      <c r="E185" s="65"/>
      <c r="F185" s="65"/>
      <c r="G185" s="65"/>
      <c r="H185" s="64"/>
    </row>
    <row r="186" spans="1:8">
      <c r="A186" s="64"/>
      <c r="B186" s="65"/>
      <c r="C186" s="65"/>
      <c r="D186" s="65"/>
      <c r="E186" s="65"/>
      <c r="F186" s="65"/>
      <c r="G186" s="65"/>
      <c r="H186" s="64"/>
    </row>
    <row r="187" spans="1:8">
      <c r="A187" s="64"/>
      <c r="B187" s="65"/>
      <c r="C187" s="65"/>
      <c r="D187" s="65"/>
      <c r="E187" s="65"/>
      <c r="F187" s="65"/>
      <c r="G187" s="65"/>
      <c r="H187" s="64"/>
    </row>
    <row r="188" spans="1:8">
      <c r="A188" s="64"/>
      <c r="B188" s="65"/>
      <c r="C188" s="65"/>
      <c r="D188" s="65"/>
      <c r="E188" s="65"/>
      <c r="F188" s="65"/>
      <c r="G188" s="65"/>
      <c r="H188" s="64"/>
    </row>
    <row r="189" spans="1:8">
      <c r="A189" s="64"/>
      <c r="B189" s="65"/>
      <c r="C189" s="65"/>
      <c r="D189" s="65"/>
      <c r="E189" s="65"/>
      <c r="F189" s="65"/>
      <c r="G189" s="65"/>
      <c r="H189" s="64"/>
    </row>
    <row r="190" spans="1:8">
      <c r="A190" s="64"/>
      <c r="B190" s="65"/>
      <c r="C190" s="65"/>
      <c r="D190" s="65"/>
      <c r="E190" s="65"/>
      <c r="F190" s="65"/>
      <c r="G190" s="65"/>
      <c r="H190" s="64"/>
    </row>
    <row r="191" spans="1:8">
      <c r="A191" s="64"/>
      <c r="B191" s="65"/>
      <c r="C191" s="65"/>
      <c r="D191" s="65"/>
      <c r="E191" s="65"/>
      <c r="F191" s="65"/>
      <c r="G191" s="65"/>
      <c r="H191" s="64"/>
    </row>
    <row r="192" spans="1:8">
      <c r="A192" s="64"/>
      <c r="B192" s="65"/>
      <c r="C192" s="65"/>
      <c r="D192" s="65"/>
      <c r="E192" s="65"/>
      <c r="F192" s="65"/>
      <c r="G192" s="65"/>
      <c r="H192" s="64"/>
    </row>
    <row r="193" spans="1:8">
      <c r="A193" s="64"/>
      <c r="B193" s="65"/>
      <c r="C193" s="65"/>
      <c r="D193" s="65"/>
      <c r="E193" s="65"/>
      <c r="F193" s="65"/>
      <c r="G193" s="65"/>
      <c r="H193" s="64"/>
    </row>
    <row r="194" spans="1:8">
      <c r="A194" s="64"/>
      <c r="B194" s="65"/>
      <c r="C194" s="65"/>
      <c r="D194" s="65"/>
      <c r="E194" s="65"/>
      <c r="F194" s="65"/>
      <c r="G194" s="65"/>
      <c r="H194" s="64"/>
    </row>
    <row r="195" spans="1:8">
      <c r="A195" s="64"/>
      <c r="B195" s="65"/>
      <c r="C195" s="65"/>
      <c r="D195" s="65"/>
      <c r="E195" s="65"/>
      <c r="F195" s="65"/>
      <c r="G195" s="65"/>
      <c r="H195" s="64"/>
    </row>
    <row r="196" spans="1:8">
      <c r="A196" s="64"/>
      <c r="B196" s="65"/>
      <c r="C196" s="65"/>
      <c r="D196" s="65"/>
      <c r="E196" s="65"/>
      <c r="F196" s="65"/>
      <c r="G196" s="65"/>
      <c r="H196" s="64"/>
    </row>
    <row r="197" spans="1:8">
      <c r="A197" s="64"/>
      <c r="B197" s="65"/>
      <c r="C197" s="65"/>
      <c r="D197" s="65"/>
      <c r="E197" s="65"/>
      <c r="F197" s="65"/>
      <c r="G197" s="65"/>
      <c r="H197" s="64"/>
    </row>
    <row r="198" spans="1:8">
      <c r="A198" s="64"/>
      <c r="B198" s="65"/>
      <c r="C198" s="65"/>
      <c r="D198" s="65"/>
      <c r="E198" s="65"/>
      <c r="F198" s="65"/>
      <c r="G198" s="65"/>
      <c r="H198" s="64"/>
    </row>
    <row r="199" spans="1:8">
      <c r="A199" s="64"/>
      <c r="B199" s="65"/>
      <c r="C199" s="65"/>
      <c r="D199" s="65"/>
      <c r="E199" s="65"/>
      <c r="F199" s="65"/>
      <c r="G199" s="65"/>
      <c r="H199" s="64"/>
    </row>
    <row r="200" spans="1:8">
      <c r="A200" s="64"/>
      <c r="B200" s="65"/>
      <c r="C200" s="65"/>
      <c r="D200" s="65"/>
      <c r="E200" s="65"/>
      <c r="F200" s="65"/>
      <c r="G200" s="65"/>
      <c r="H200" s="64"/>
    </row>
  </sheetData>
  <mergeCells count="4">
    <mergeCell ref="A1:H1"/>
    <mergeCell ref="A2:H2"/>
    <mergeCell ref="B5:H5"/>
    <mergeCell ref="A12:H12"/>
  </mergeCells>
  <dataValidations count="1">
    <dataValidation type="list" allowBlank="1" showInputMessage="1" showErrorMessage="1" promptTitle="Estado" prompt="Seleccione el estado de la actividad." sqref="D14:D200" xr:uid="{894FBC6A-F748-46AE-849E-85E325E22767}">
      <formula1>"Pendiente,En proceso,Cumplido,Cancelado"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EC55-18B3-4F88-89C5-998730BCAC80}">
  <sheetPr>
    <tabColor rgb="FF1F4E78"/>
  </sheetPr>
  <dimension ref="A1:H25"/>
  <sheetViews>
    <sheetView showGridLines="0" topLeftCell="A24" workbookViewId="0">
      <selection activeCell="G14" sqref="G14"/>
    </sheetView>
  </sheetViews>
  <sheetFormatPr defaultRowHeight="15"/>
  <cols>
    <col min="1" max="1" width="14.42578125" customWidth="1"/>
    <col min="2" max="2" width="36.140625" customWidth="1"/>
    <col min="3" max="3" width="8.7109375" bestFit="1" customWidth="1"/>
    <col min="4" max="4" width="9.140625" bestFit="1" customWidth="1"/>
    <col min="5" max="5" width="30.7109375" customWidth="1"/>
    <col min="6" max="7" width="24.7109375" customWidth="1"/>
    <col min="8" max="8" width="9" bestFit="1" customWidth="1"/>
  </cols>
  <sheetData>
    <row r="1" spans="1:8" ht="21">
      <c r="A1" s="135" t="s">
        <v>326</v>
      </c>
      <c r="B1" s="135"/>
      <c r="C1" s="135"/>
      <c r="D1" s="135"/>
      <c r="E1" s="135"/>
      <c r="F1" s="135"/>
      <c r="G1" s="135"/>
      <c r="H1" s="135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16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10</v>
      </c>
    </row>
    <row r="5" spans="1:8">
      <c r="A5" s="16" t="s">
        <v>118</v>
      </c>
      <c r="B5" s="19" t="str">
        <f>Seguimiento!B16</f>
        <v>Quejas – registro</v>
      </c>
      <c r="C5" s="19"/>
      <c r="D5" s="19"/>
      <c r="E5" s="19"/>
      <c r="F5" s="19"/>
      <c r="G5" s="19"/>
      <c r="H5" s="19"/>
    </row>
    <row r="6" spans="1:8" ht="38.25">
      <c r="A6" s="16" t="s">
        <v>119</v>
      </c>
      <c r="B6" s="19" t="str">
        <f>Seguimiento!C16</f>
        <v>Quejas recibidas, estado y atención documentados</v>
      </c>
      <c r="C6" s="19"/>
      <c r="D6" s="19"/>
      <c r="E6" s="19"/>
      <c r="F6" s="19"/>
      <c r="G6" s="19"/>
      <c r="H6" s="19"/>
    </row>
    <row r="7" spans="1:8">
      <c r="A7" s="16" t="s">
        <v>11</v>
      </c>
      <c r="B7" s="19" t="str">
        <f>Seguimiento!D16</f>
        <v>Sin pérdida de registros</v>
      </c>
      <c r="C7" s="19"/>
      <c r="D7" s="19"/>
      <c r="E7" s="19"/>
      <c r="F7" s="19"/>
      <c r="G7" s="19"/>
      <c r="H7" s="19"/>
    </row>
    <row r="8" spans="1:8" ht="25.5">
      <c r="A8" s="16" t="s">
        <v>120</v>
      </c>
      <c r="B8" s="19" t="str">
        <f>IF(Seguimiento!E16,"Cumplido",IF(Seguimiento!F16,"N/A","Pendiente"))</f>
        <v>Cumplido</v>
      </c>
      <c r="C8" s="19" t="s">
        <v>12</v>
      </c>
      <c r="D8" s="19" t="str">
        <f>IF(Seguimiento!E16,"Sí","No")</f>
        <v>Sí</v>
      </c>
      <c r="E8" s="19" t="s">
        <v>13</v>
      </c>
      <c r="F8" s="19" t="str">
        <f>IF(Seguimiento!F16,"Sí","No")</f>
        <v>No</v>
      </c>
      <c r="G8" s="19"/>
      <c r="H8" s="19"/>
    </row>
    <row r="9" spans="1:8">
      <c r="A9" s="16" t="s">
        <v>121</v>
      </c>
      <c r="B9" s="19" t="str">
        <f>IF(Seguimiento!E16,"Control mensual completado",IF(Seguimiento!F16,"Indicador no aplicable en el periodo","Requiere seguimiento"))</f>
        <v>Control mensual completado</v>
      </c>
      <c r="C9" s="19"/>
      <c r="D9" s="19"/>
      <c r="E9" s="19"/>
      <c r="F9" s="19"/>
      <c r="G9" s="19"/>
      <c r="H9" s="19"/>
    </row>
    <row r="10" spans="1:8" ht="38.25">
      <c r="A10" s="16" t="s">
        <v>122</v>
      </c>
      <c r="B10" s="19">
        <f>Seguimiento!G16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34" t="s">
        <v>123</v>
      </c>
      <c r="B12" s="134"/>
      <c r="C12" s="134"/>
      <c r="D12" s="134"/>
      <c r="E12" s="134"/>
      <c r="F12" s="134"/>
      <c r="G12" s="134"/>
      <c r="H12" s="134"/>
    </row>
    <row r="13" spans="1:8" ht="38.25">
      <c r="A13" s="31" t="s">
        <v>5</v>
      </c>
      <c r="B13" s="31" t="s">
        <v>124</v>
      </c>
      <c r="C13" s="31" t="s">
        <v>117</v>
      </c>
      <c r="D13" s="31" t="s">
        <v>75</v>
      </c>
      <c r="E13" s="31" t="s">
        <v>125</v>
      </c>
      <c r="F13" s="31" t="s">
        <v>126</v>
      </c>
      <c r="G13" s="31" t="s">
        <v>127</v>
      </c>
      <c r="H13" s="31" t="s">
        <v>128</v>
      </c>
    </row>
    <row r="14" spans="1:8" ht="25.5">
      <c r="A14" s="102" t="s">
        <v>327</v>
      </c>
      <c r="B14" s="19" t="s">
        <v>328</v>
      </c>
      <c r="C14" s="19"/>
      <c r="D14" s="19" t="s">
        <v>131</v>
      </c>
      <c r="E14" s="19"/>
      <c r="F14" s="19" t="s">
        <v>329</v>
      </c>
      <c r="G14" s="19" t="s">
        <v>330</v>
      </c>
      <c r="H14" s="19"/>
    </row>
    <row r="15" spans="1:8">
      <c r="A15" s="102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BF431714-45C2-45B7-9EDF-94F3E8D33B08}">
      <formula1>"Pendiente,En proceso,Cumplido,N/A"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EC22-E74B-4324-BF2E-126B9A3F8C2F}">
  <sheetPr>
    <tabColor rgb="FF1F4E78"/>
  </sheetPr>
  <dimension ref="A1:H25"/>
  <sheetViews>
    <sheetView showGridLines="0" topLeftCell="A5" workbookViewId="0">
      <selection activeCell="E14" sqref="E14"/>
    </sheetView>
  </sheetViews>
  <sheetFormatPr defaultRowHeight="15"/>
  <cols>
    <col min="1" max="1" width="30.140625" customWidth="1"/>
    <col min="2" max="2" width="36.140625" customWidth="1"/>
    <col min="3" max="3" width="8.7109375" bestFit="1" customWidth="1"/>
    <col min="4" max="4" width="9.140625" bestFit="1" customWidth="1"/>
    <col min="5" max="7" width="24.7109375" customWidth="1"/>
    <col min="8" max="8" width="9" bestFit="1" customWidth="1"/>
  </cols>
  <sheetData>
    <row r="1" spans="1:8" ht="21">
      <c r="A1" s="135" t="s">
        <v>331</v>
      </c>
      <c r="B1" s="135"/>
      <c r="C1" s="135"/>
      <c r="D1" s="135"/>
      <c r="E1" s="135"/>
      <c r="F1" s="135"/>
      <c r="G1" s="135"/>
      <c r="H1" s="135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16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11</v>
      </c>
    </row>
    <row r="5" spans="1:8">
      <c r="A5" s="16" t="s">
        <v>118</v>
      </c>
      <c r="B5" s="19" t="str">
        <f>Seguimiento!B17</f>
        <v>Ilícitos – registro</v>
      </c>
      <c r="C5" s="19"/>
      <c r="D5" s="19"/>
      <c r="E5" s="19"/>
      <c r="F5" s="19"/>
      <c r="G5" s="19"/>
      <c r="H5" s="19"/>
    </row>
    <row r="6" spans="1:8" ht="38.25">
      <c r="A6" s="16" t="s">
        <v>119</v>
      </c>
      <c r="B6" s="19" t="str">
        <f>Seguimiento!C17</f>
        <v>Casos detectados, gestionados y documentados</v>
      </c>
      <c r="C6" s="19"/>
      <c r="D6" s="19"/>
      <c r="E6" s="19"/>
      <c r="F6" s="19"/>
      <c r="G6" s="19"/>
      <c r="H6" s="19"/>
    </row>
    <row r="7" spans="1:8">
      <c r="A7" s="16" t="s">
        <v>11</v>
      </c>
      <c r="B7" s="19" t="str">
        <f>Seguimiento!D17</f>
        <v>Sin pérdida de registros y 100% tramitados</v>
      </c>
      <c r="C7" s="19"/>
      <c r="D7" s="19"/>
      <c r="E7" s="19"/>
      <c r="F7" s="19"/>
      <c r="G7" s="19"/>
      <c r="H7" s="19"/>
    </row>
    <row r="8" spans="1:8" ht="25.5">
      <c r="A8" s="16" t="s">
        <v>120</v>
      </c>
      <c r="B8" s="19" t="str">
        <f>IF(Seguimiento!E17,"Cumplido",IF(Seguimiento!F17,"N/A","Pendiente"))</f>
        <v>Cumplido</v>
      </c>
      <c r="C8" s="19" t="s">
        <v>12</v>
      </c>
      <c r="D8" s="19" t="str">
        <f>IF(Seguimiento!E17,"Sí","No")</f>
        <v>Sí</v>
      </c>
      <c r="E8" s="19" t="s">
        <v>13</v>
      </c>
      <c r="F8" s="19" t="str">
        <f>IF(Seguimiento!F17,"Sí","No")</f>
        <v>No</v>
      </c>
      <c r="G8" s="19"/>
      <c r="H8" s="19"/>
    </row>
    <row r="9" spans="1:8">
      <c r="A9" s="16" t="s">
        <v>121</v>
      </c>
      <c r="B9" s="19" t="str">
        <f>IF(Seguimiento!E17,"Control mensual completado",IF(Seguimiento!F17,"Indicador no aplicable en el periodo","Requiere seguimiento"))</f>
        <v>Control mensual completado</v>
      </c>
      <c r="C9" s="19"/>
      <c r="D9" s="19"/>
      <c r="E9" s="19"/>
      <c r="F9" s="19"/>
      <c r="G9" s="19"/>
      <c r="H9" s="19"/>
    </row>
    <row r="10" spans="1:8" ht="38.25">
      <c r="A10" s="16" t="s">
        <v>122</v>
      </c>
      <c r="B10" s="19">
        <f>Seguimiento!G17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34" t="s">
        <v>123</v>
      </c>
      <c r="B12" s="134"/>
      <c r="C12" s="134"/>
      <c r="D12" s="134"/>
      <c r="E12" s="134"/>
      <c r="F12" s="134"/>
      <c r="G12" s="134"/>
      <c r="H12" s="134"/>
    </row>
    <row r="13" spans="1:8" ht="38.25">
      <c r="A13" s="31" t="s">
        <v>5</v>
      </c>
      <c r="B13" s="31" t="s">
        <v>124</v>
      </c>
      <c r="C13" s="31" t="s">
        <v>117</v>
      </c>
      <c r="D13" s="31" t="s">
        <v>75</v>
      </c>
      <c r="E13" s="31" t="s">
        <v>125</v>
      </c>
      <c r="F13" s="31" t="s">
        <v>126</v>
      </c>
      <c r="G13" s="31" t="s">
        <v>127</v>
      </c>
      <c r="H13" s="31" t="s">
        <v>128</v>
      </c>
    </row>
    <row r="14" spans="1:8">
      <c r="A14" s="103" t="s">
        <v>332</v>
      </c>
      <c r="B14" s="19" t="s">
        <v>333</v>
      </c>
      <c r="C14" s="19"/>
      <c r="D14" s="19" t="s">
        <v>12</v>
      </c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12ADAF8A-BDE8-44C5-96D2-BD5D1DF51DA2}">
      <formula1>"Pendiente,En proceso,Cumplido,N/A"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E273-B9ED-460F-839D-985F60AB0F17}">
  <sheetPr>
    <tabColor rgb="FF1F4E78"/>
  </sheetPr>
  <dimension ref="A1:H52"/>
  <sheetViews>
    <sheetView showGridLines="0" topLeftCell="A43" workbookViewId="0">
      <selection activeCell="F52" sqref="F52"/>
    </sheetView>
  </sheetViews>
  <sheetFormatPr defaultRowHeight="15"/>
  <cols>
    <col min="1" max="1" width="20" customWidth="1"/>
    <col min="2" max="2" width="9.140625" customWidth="1"/>
    <col min="3" max="3" width="43.85546875" customWidth="1"/>
    <col min="4" max="4" width="18.140625" customWidth="1"/>
    <col min="5" max="5" width="19.140625" customWidth="1"/>
    <col min="6" max="7" width="21.85546875" customWidth="1"/>
    <col min="8" max="8" width="21" customWidth="1"/>
  </cols>
  <sheetData>
    <row r="1" spans="1:8" ht="21">
      <c r="A1" s="135" t="s">
        <v>334</v>
      </c>
      <c r="B1" s="135"/>
      <c r="C1" s="135"/>
      <c r="D1" s="135"/>
      <c r="E1" s="135"/>
      <c r="F1" s="135"/>
      <c r="G1" s="135"/>
      <c r="H1" s="135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16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12</v>
      </c>
    </row>
    <row r="5" spans="1:8">
      <c r="A5" s="16" t="s">
        <v>118</v>
      </c>
      <c r="B5" s="19" t="str">
        <f>Seguimiento!B18</f>
        <v>Registro de Proyectos</v>
      </c>
      <c r="C5" s="19"/>
      <c r="D5" s="19"/>
      <c r="E5" s="19"/>
      <c r="F5" s="19"/>
      <c r="G5" s="19"/>
      <c r="H5" s="19"/>
    </row>
    <row r="6" spans="1:8" ht="38.25">
      <c r="A6" s="16" t="s">
        <v>119</v>
      </c>
      <c r="B6" s="19" t="str">
        <f>Seguimiento!C18</f>
        <v>Proyectos y movimientos debidamente registrados y su progreso</v>
      </c>
      <c r="C6" s="19"/>
      <c r="D6" s="19"/>
      <c r="E6" s="19"/>
      <c r="F6" s="19"/>
      <c r="G6" s="19"/>
      <c r="H6" s="19"/>
    </row>
    <row r="7" spans="1:8">
      <c r="A7" s="16" t="s">
        <v>11</v>
      </c>
      <c r="B7" s="19" t="str">
        <f>Seguimiento!D18</f>
        <v>Sin pérdida de registros</v>
      </c>
      <c r="C7" s="19"/>
      <c r="D7" s="19"/>
      <c r="E7" s="19"/>
      <c r="F7" s="19"/>
      <c r="G7" s="19"/>
      <c r="H7" s="19"/>
    </row>
    <row r="8" spans="1:8" ht="25.5">
      <c r="A8" s="16" t="s">
        <v>120</v>
      </c>
      <c r="B8" s="19" t="str">
        <f>IF(Seguimiento!E18,"Cumplido",IF(Seguimiento!F18,"N/A","Pendiente"))</f>
        <v>Cumplido</v>
      </c>
      <c r="C8" s="19" t="s">
        <v>12</v>
      </c>
      <c r="D8" s="19" t="str">
        <f>IF(Seguimiento!E18,"Sí","No")</f>
        <v>Sí</v>
      </c>
      <c r="E8" s="19" t="s">
        <v>13</v>
      </c>
      <c r="F8" s="19" t="str">
        <f>IF(Seguimiento!F18,"Sí","No")</f>
        <v>No</v>
      </c>
      <c r="G8" s="19"/>
      <c r="H8" s="19"/>
    </row>
    <row r="9" spans="1:8">
      <c r="A9" s="16" t="s">
        <v>121</v>
      </c>
      <c r="B9" s="19" t="str">
        <f>IF(Seguimiento!E18,"Control mensual completado",IF(Seguimiento!F18,"Indicador no aplicable en el periodo","Requiere seguimiento"))</f>
        <v>Control mensual completado</v>
      </c>
      <c r="C9" s="19"/>
      <c r="D9" s="19"/>
      <c r="E9" s="19"/>
      <c r="F9" s="19"/>
      <c r="G9" s="19"/>
      <c r="H9" s="19"/>
    </row>
    <row r="10" spans="1:8" ht="38.25">
      <c r="A10" s="16" t="s">
        <v>122</v>
      </c>
      <c r="B10" s="19">
        <f>Seguimiento!G18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42"/>
      <c r="B12" s="42"/>
      <c r="C12" s="42"/>
      <c r="D12" s="42"/>
      <c r="E12" s="42"/>
      <c r="F12" s="42"/>
      <c r="G12" s="42"/>
      <c r="H12" s="42"/>
    </row>
    <row r="13" spans="1:8" ht="26.25">
      <c r="A13" s="138" t="s">
        <v>335</v>
      </c>
      <c r="B13" s="138"/>
      <c r="C13" s="138"/>
      <c r="D13" s="138"/>
      <c r="E13" s="138"/>
      <c r="F13" s="138"/>
      <c r="G13" s="138"/>
      <c r="H13" s="42"/>
    </row>
    <row r="14" spans="1:8" ht="76.5">
      <c r="A14" s="139" t="s">
        <v>336</v>
      </c>
      <c r="B14" s="139"/>
      <c r="C14" s="139"/>
      <c r="D14" s="139"/>
      <c r="E14" s="139"/>
      <c r="F14" s="139"/>
      <c r="G14" s="139"/>
      <c r="H14" s="43" t="s">
        <v>337</v>
      </c>
    </row>
    <row r="15" spans="1:8">
      <c r="A15" s="42"/>
      <c r="B15" s="42"/>
      <c r="C15" s="42"/>
      <c r="D15" s="42"/>
      <c r="E15" s="42"/>
      <c r="F15" s="42"/>
      <c r="G15" s="42"/>
      <c r="H15" s="42"/>
    </row>
    <row r="16" spans="1:8">
      <c r="A16" s="140" t="s">
        <v>338</v>
      </c>
      <c r="B16" s="141"/>
      <c r="C16" s="42"/>
      <c r="D16" s="140" t="s">
        <v>339</v>
      </c>
      <c r="E16" s="141"/>
      <c r="F16" s="42"/>
      <c r="G16" s="140" t="s">
        <v>340</v>
      </c>
      <c r="H16" s="141"/>
    </row>
    <row r="17" spans="1:8">
      <c r="A17" s="142"/>
      <c r="B17" s="143"/>
      <c r="C17" s="42"/>
      <c r="D17" s="142"/>
      <c r="E17" s="143"/>
      <c r="F17" s="42"/>
      <c r="G17" s="142"/>
      <c r="H17" s="143"/>
    </row>
    <row r="18" spans="1:8">
      <c r="A18" s="144"/>
      <c r="B18" s="145"/>
      <c r="C18" s="42"/>
      <c r="D18" s="144"/>
      <c r="E18" s="145"/>
      <c r="F18" s="42"/>
      <c r="G18" s="144"/>
      <c r="H18" s="145"/>
    </row>
    <row r="19" spans="1:8">
      <c r="A19" s="42"/>
      <c r="B19" s="42"/>
      <c r="C19" s="42"/>
      <c r="D19" s="42"/>
      <c r="E19" s="42"/>
      <c r="F19" s="42"/>
      <c r="G19" s="42"/>
      <c r="H19" s="42"/>
    </row>
    <row r="20" spans="1:8">
      <c r="A20" s="42"/>
      <c r="B20" s="42"/>
      <c r="C20" s="42"/>
      <c r="D20" s="42"/>
      <c r="E20" s="42"/>
      <c r="F20" s="42"/>
      <c r="G20" s="42"/>
      <c r="H20" s="42"/>
    </row>
    <row r="21" spans="1:8" ht="30.75">
      <c r="A21" s="44" t="s">
        <v>75</v>
      </c>
      <c r="B21" s="44" t="s">
        <v>341</v>
      </c>
      <c r="C21" s="42"/>
      <c r="D21" s="44" t="s">
        <v>342</v>
      </c>
      <c r="E21" s="44" t="s">
        <v>341</v>
      </c>
      <c r="F21" s="42"/>
      <c r="G21" s="44" t="s">
        <v>343</v>
      </c>
      <c r="H21" s="44" t="s">
        <v>341</v>
      </c>
    </row>
    <row r="22" spans="1:8" ht="30.75">
      <c r="A22" s="42" t="s">
        <v>131</v>
      </c>
      <c r="B22" s="42">
        <v>4</v>
      </c>
      <c r="C22" s="42"/>
      <c r="D22" s="42" t="s">
        <v>344</v>
      </c>
      <c r="E22" s="42">
        <v>1</v>
      </c>
      <c r="F22" s="42"/>
      <c r="G22" s="42" t="s">
        <v>345</v>
      </c>
      <c r="H22" s="42">
        <v>1</v>
      </c>
    </row>
    <row r="23" spans="1:8" ht="30.75">
      <c r="A23" s="42" t="s">
        <v>346</v>
      </c>
      <c r="B23" s="42">
        <v>3</v>
      </c>
      <c r="C23" s="42"/>
      <c r="D23" s="42" t="s">
        <v>347</v>
      </c>
      <c r="E23" s="42">
        <v>6</v>
      </c>
      <c r="F23" s="42"/>
      <c r="G23" s="42" t="s">
        <v>348</v>
      </c>
      <c r="H23" s="42">
        <v>2</v>
      </c>
    </row>
    <row r="24" spans="1:8" ht="30.75">
      <c r="A24" s="42" t="s">
        <v>349</v>
      </c>
      <c r="B24" s="42">
        <v>1</v>
      </c>
      <c r="C24" s="42"/>
      <c r="D24" s="42" t="s">
        <v>350</v>
      </c>
      <c r="E24" s="42">
        <v>1</v>
      </c>
      <c r="F24" s="42"/>
      <c r="G24" s="42" t="s">
        <v>351</v>
      </c>
      <c r="H24" s="42">
        <v>1</v>
      </c>
    </row>
    <row r="25" spans="1:8">
      <c r="A25" s="42"/>
      <c r="B25" s="42"/>
      <c r="C25" s="42"/>
      <c r="D25" s="42"/>
      <c r="E25" s="42"/>
      <c r="F25" s="42"/>
      <c r="G25" s="42" t="s">
        <v>352</v>
      </c>
      <c r="H25" s="42">
        <v>1</v>
      </c>
    </row>
    <row r="26" spans="1:8">
      <c r="A26" s="42"/>
      <c r="B26" s="42"/>
      <c r="C26" s="42"/>
      <c r="D26" s="42"/>
      <c r="E26" s="42"/>
      <c r="F26" s="42"/>
      <c r="G26" s="42" t="s">
        <v>353</v>
      </c>
      <c r="H26" s="42">
        <v>1</v>
      </c>
    </row>
    <row r="27" spans="1:8">
      <c r="A27" s="42"/>
      <c r="B27" s="42"/>
      <c r="C27" s="42"/>
      <c r="D27" s="42"/>
      <c r="E27" s="42"/>
      <c r="F27" s="42"/>
      <c r="G27" s="42" t="s">
        <v>354</v>
      </c>
      <c r="H27" s="42">
        <v>1</v>
      </c>
    </row>
    <row r="28" spans="1:8">
      <c r="A28" s="33"/>
      <c r="B28" s="42"/>
      <c r="C28" s="42"/>
      <c r="D28" s="42"/>
      <c r="E28" s="42"/>
      <c r="F28" s="33"/>
      <c r="G28" s="42" t="s">
        <v>355</v>
      </c>
      <c r="H28" s="42">
        <v>1</v>
      </c>
    </row>
    <row r="29" spans="1:8">
      <c r="A29" s="42"/>
      <c r="B29" s="42"/>
      <c r="C29" s="42"/>
      <c r="D29" s="42"/>
      <c r="E29" s="42"/>
      <c r="F29" s="42"/>
      <c r="G29" s="42"/>
      <c r="H29" s="42"/>
    </row>
    <row r="30" spans="1:8">
      <c r="A30" s="42"/>
      <c r="B30" s="42"/>
      <c r="C30" s="42"/>
      <c r="D30" s="42"/>
      <c r="E30" s="42"/>
      <c r="F30" s="42"/>
      <c r="G30" s="42"/>
      <c r="H30" s="42"/>
    </row>
    <row r="31" spans="1:8">
      <c r="A31" s="42"/>
      <c r="B31" s="42"/>
      <c r="C31" s="42"/>
      <c r="D31" s="42"/>
      <c r="E31" s="42"/>
      <c r="F31" s="42"/>
      <c r="G31" s="42"/>
      <c r="H31" s="42"/>
    </row>
    <row r="32" spans="1:8">
      <c r="A32" s="42"/>
      <c r="B32" s="42"/>
      <c r="C32" s="42"/>
      <c r="D32" s="42"/>
      <c r="E32" s="42"/>
      <c r="F32" s="42"/>
      <c r="G32" s="42"/>
      <c r="H32" s="42"/>
    </row>
    <row r="33" spans="1:8">
      <c r="A33" s="42"/>
      <c r="B33" s="42"/>
      <c r="C33" s="42"/>
      <c r="D33" s="42"/>
      <c r="E33" s="42"/>
      <c r="F33" s="42"/>
      <c r="G33" s="42"/>
      <c r="H33" s="42"/>
    </row>
    <row r="34" spans="1:8">
      <c r="A34" s="42"/>
      <c r="B34" s="42"/>
      <c r="C34" s="42"/>
      <c r="D34" s="42"/>
      <c r="E34" s="42"/>
      <c r="F34" s="42"/>
      <c r="G34" s="42"/>
      <c r="H34" s="42"/>
    </row>
    <row r="35" spans="1:8">
      <c r="A35" s="42"/>
      <c r="B35" s="42"/>
      <c r="C35" s="42"/>
      <c r="D35" s="42"/>
      <c r="E35" s="42"/>
      <c r="F35" s="42"/>
      <c r="G35" s="42"/>
      <c r="H35" s="42"/>
    </row>
    <row r="36" spans="1:8">
      <c r="A36" s="42"/>
      <c r="B36" s="42"/>
      <c r="C36" s="42"/>
      <c r="D36" s="42"/>
      <c r="E36" s="42"/>
      <c r="F36" s="42"/>
      <c r="G36" s="42"/>
      <c r="H36" s="42"/>
    </row>
    <row r="37" spans="1:8">
      <c r="A37" s="42"/>
      <c r="B37" s="42"/>
      <c r="C37" s="42"/>
      <c r="D37" s="42"/>
      <c r="E37" s="42"/>
      <c r="F37" s="42"/>
      <c r="G37" s="42"/>
      <c r="H37" s="42"/>
    </row>
    <row r="38" spans="1:8" ht="17.25">
      <c r="A38" s="137" t="s">
        <v>356</v>
      </c>
      <c r="B38" s="137"/>
      <c r="C38" s="137"/>
      <c r="D38" s="137"/>
      <c r="E38" s="137"/>
      <c r="F38" s="137"/>
      <c r="G38" s="137"/>
      <c r="H38" s="137"/>
    </row>
    <row r="39" spans="1:8" ht="32.25" customHeight="1">
      <c r="A39" s="46" t="s">
        <v>357</v>
      </c>
      <c r="B39" s="46" t="s">
        <v>343</v>
      </c>
      <c r="C39" s="46" t="s">
        <v>358</v>
      </c>
      <c r="D39" s="46" t="s">
        <v>75</v>
      </c>
      <c r="E39" s="46" t="s">
        <v>359</v>
      </c>
      <c r="F39" s="46" t="s">
        <v>360</v>
      </c>
      <c r="G39" s="46" t="s">
        <v>361</v>
      </c>
      <c r="H39" s="46" t="s">
        <v>362</v>
      </c>
    </row>
    <row r="40" spans="1:8" ht="30" customHeight="1">
      <c r="A40" s="47" t="s">
        <v>363</v>
      </c>
      <c r="B40" s="47" t="s">
        <v>348</v>
      </c>
      <c r="C40" s="53" t="s">
        <v>364</v>
      </c>
      <c r="D40" s="47" t="s">
        <v>349</v>
      </c>
      <c r="E40" s="47" t="s">
        <v>344</v>
      </c>
      <c r="F40" s="48">
        <v>46125</v>
      </c>
      <c r="G40" s="48">
        <v>46254</v>
      </c>
      <c r="H40" s="49" t="s">
        <v>349</v>
      </c>
    </row>
    <row r="41" spans="1:8" ht="30" customHeight="1">
      <c r="A41" s="47" t="s">
        <v>365</v>
      </c>
      <c r="B41" s="47" t="s">
        <v>348</v>
      </c>
      <c r="C41" s="53" t="s">
        <v>366</v>
      </c>
      <c r="D41" s="47" t="s">
        <v>131</v>
      </c>
      <c r="E41" s="47" t="s">
        <v>347</v>
      </c>
      <c r="F41" s="48">
        <v>46129</v>
      </c>
      <c r="G41" s="48">
        <v>46190</v>
      </c>
      <c r="H41" s="49" t="s">
        <v>367</v>
      </c>
    </row>
    <row r="42" spans="1:8" ht="30" customHeight="1">
      <c r="A42" s="47" t="s">
        <v>368</v>
      </c>
      <c r="B42" s="47" t="s">
        <v>352</v>
      </c>
      <c r="C42" s="53" t="s">
        <v>369</v>
      </c>
      <c r="D42" s="47" t="s">
        <v>349</v>
      </c>
      <c r="E42" s="47" t="s">
        <v>350</v>
      </c>
      <c r="F42" s="48">
        <v>46199</v>
      </c>
      <c r="G42" s="48">
        <v>46235</v>
      </c>
      <c r="H42" s="49" t="s">
        <v>370</v>
      </c>
    </row>
    <row r="43" spans="1:8" ht="30" customHeight="1">
      <c r="A43" s="47" t="s">
        <v>371</v>
      </c>
      <c r="B43" s="47" t="s">
        <v>355</v>
      </c>
      <c r="C43" s="53" t="s">
        <v>372</v>
      </c>
      <c r="D43" s="47" t="s">
        <v>346</v>
      </c>
      <c r="E43" s="47" t="s">
        <v>347</v>
      </c>
      <c r="F43" s="48"/>
      <c r="G43" s="48">
        <v>46235</v>
      </c>
      <c r="H43" s="49" t="s">
        <v>373</v>
      </c>
    </row>
    <row r="44" spans="1:8" ht="30" customHeight="1">
      <c r="A44" s="47" t="s">
        <v>374</v>
      </c>
      <c r="B44" s="47" t="s">
        <v>351</v>
      </c>
      <c r="C44" s="53" t="s">
        <v>375</v>
      </c>
      <c r="D44" s="47" t="s">
        <v>346</v>
      </c>
      <c r="E44" s="47" t="s">
        <v>347</v>
      </c>
      <c r="F44" s="48"/>
      <c r="G44" s="48">
        <v>46266</v>
      </c>
      <c r="H44" s="49" t="s">
        <v>373</v>
      </c>
    </row>
    <row r="45" spans="1:8" ht="30" customHeight="1">
      <c r="A45" s="47" t="s">
        <v>376</v>
      </c>
      <c r="B45" s="47" t="s">
        <v>353</v>
      </c>
      <c r="C45" s="53" t="s">
        <v>377</v>
      </c>
      <c r="D45" s="47" t="s">
        <v>346</v>
      </c>
      <c r="E45" s="47" t="s">
        <v>347</v>
      </c>
      <c r="F45" s="48"/>
      <c r="G45" s="48">
        <v>46296</v>
      </c>
      <c r="H45" s="50" t="s">
        <v>378</v>
      </c>
    </row>
    <row r="46" spans="1:8" ht="30" customHeight="1">
      <c r="A46" s="47" t="s">
        <v>379</v>
      </c>
      <c r="B46" s="47" t="s">
        <v>354</v>
      </c>
      <c r="C46" s="53" t="s">
        <v>380</v>
      </c>
      <c r="D46" s="47" t="s">
        <v>131</v>
      </c>
      <c r="E46" s="47" t="s">
        <v>347</v>
      </c>
      <c r="F46" s="48">
        <v>46184</v>
      </c>
      <c r="G46" s="48">
        <v>46346</v>
      </c>
      <c r="H46" s="51" t="s">
        <v>367</v>
      </c>
    </row>
    <row r="47" spans="1:8" ht="30" customHeight="1">
      <c r="A47" s="47" t="s">
        <v>381</v>
      </c>
      <c r="B47" s="47" t="s">
        <v>345</v>
      </c>
      <c r="C47" s="53" t="s">
        <v>382</v>
      </c>
      <c r="D47" s="47" t="s">
        <v>349</v>
      </c>
      <c r="E47" s="47" t="s">
        <v>347</v>
      </c>
      <c r="F47" s="48">
        <v>46275</v>
      </c>
      <c r="G47" s="48">
        <v>46275</v>
      </c>
      <c r="H47" s="52" t="s">
        <v>349</v>
      </c>
    </row>
    <row r="48" spans="1:8">
      <c r="A48" s="45"/>
      <c r="B48" s="45"/>
      <c r="C48" s="45"/>
      <c r="D48" s="45"/>
      <c r="E48" s="45"/>
      <c r="F48" s="45"/>
      <c r="G48" s="45"/>
      <c r="H48" s="45"/>
    </row>
    <row r="49" spans="1:8">
      <c r="A49" s="190" t="s">
        <v>383</v>
      </c>
      <c r="B49" s="190"/>
      <c r="C49" s="190"/>
      <c r="D49" s="190"/>
      <c r="E49" s="190"/>
      <c r="F49" s="190"/>
      <c r="G49" s="190"/>
      <c r="H49" s="190"/>
    </row>
    <row r="51" spans="1:8">
      <c r="C51" t="s">
        <v>384</v>
      </c>
      <c r="D51" s="66" t="s">
        <v>131</v>
      </c>
      <c r="E51" t="s">
        <v>385</v>
      </c>
      <c r="F51" t="s">
        <v>386</v>
      </c>
      <c r="H51" t="s">
        <v>387</v>
      </c>
    </row>
    <row r="52" spans="1:8">
      <c r="C52" t="s">
        <v>388</v>
      </c>
      <c r="D52" s="66" t="s">
        <v>131</v>
      </c>
      <c r="E52" t="s">
        <v>389</v>
      </c>
      <c r="F52" t="s">
        <v>390</v>
      </c>
      <c r="H52" t="s">
        <v>387</v>
      </c>
    </row>
  </sheetData>
  <mergeCells count="9">
    <mergeCell ref="A38:H38"/>
    <mergeCell ref="A49:H49"/>
    <mergeCell ref="A1:H1"/>
    <mergeCell ref="A2:H2"/>
    <mergeCell ref="A13:G13"/>
    <mergeCell ref="A14:G14"/>
    <mergeCell ref="A16:B18"/>
    <mergeCell ref="D16:E18"/>
    <mergeCell ref="G16:H18"/>
  </mergeCells>
  <conditionalFormatting sqref="D40:D47">
    <cfRule type="expression" dxfId="19" priority="4">
      <formula>$D40="En proceso"</formula>
    </cfRule>
  </conditionalFormatting>
  <conditionalFormatting sqref="D40:D47">
    <cfRule type="expression" dxfId="18" priority="5">
      <formula>$D40="Pendiente"</formula>
    </cfRule>
  </conditionalFormatting>
  <conditionalFormatting sqref="D40:D47">
    <cfRule type="expression" dxfId="17" priority="6">
      <formula>$D40="Completado"</formula>
    </cfRule>
  </conditionalFormatting>
  <conditionalFormatting sqref="H40:H47">
    <cfRule type="expression" dxfId="16" priority="7">
      <formula>$H40="Atrasado"</formula>
    </cfRule>
  </conditionalFormatting>
  <conditionalFormatting sqref="H40:H47">
    <cfRule type="expression" dxfId="15" priority="8">
      <formula>$H40="Próximo a vencer"</formula>
    </cfRule>
  </conditionalFormatting>
  <conditionalFormatting sqref="H40:H47">
    <cfRule type="expression" dxfId="14" priority="9">
      <formula>$H40="Seguimiento"</formula>
    </cfRule>
  </conditionalFormatting>
  <conditionalFormatting sqref="H40:H47">
    <cfRule type="expression" dxfId="13" priority="10">
      <formula>$H40="Completado"</formula>
    </cfRule>
  </conditionalFormatting>
  <conditionalFormatting sqref="D51:D52">
    <cfRule type="expression" dxfId="12" priority="1">
      <formula>$D51="En proceso"</formula>
    </cfRule>
  </conditionalFormatting>
  <conditionalFormatting sqref="D51:D52">
    <cfRule type="expression" dxfId="11" priority="2">
      <formula>$D51="Pendiente"</formula>
    </cfRule>
  </conditionalFormatting>
  <conditionalFormatting sqref="D51:D52">
    <cfRule type="expression" dxfId="10" priority="3">
      <formula>$D51="Completado"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58CB-8E16-48B5-A219-265E57A65439}">
  <sheetPr>
    <tabColor rgb="FF0F6B6D"/>
  </sheetPr>
  <dimension ref="A1:H25"/>
  <sheetViews>
    <sheetView showGridLines="0" workbookViewId="0"/>
  </sheetViews>
  <sheetFormatPr defaultRowHeight="15"/>
  <cols>
    <col min="1" max="1" width="9" bestFit="1" customWidth="1"/>
    <col min="2" max="2" width="36.140625" customWidth="1"/>
    <col min="3" max="3" width="8.7109375" bestFit="1" customWidth="1"/>
    <col min="4" max="4" width="9.140625" bestFit="1" customWidth="1"/>
    <col min="5" max="6" width="8.85546875" bestFit="1" customWidth="1"/>
    <col min="7" max="7" width="7.140625" bestFit="1" customWidth="1"/>
    <col min="8" max="8" width="9" bestFit="1" customWidth="1"/>
  </cols>
  <sheetData>
    <row r="1" spans="1:8">
      <c r="A1" s="113" t="s">
        <v>391</v>
      </c>
      <c r="B1" s="113"/>
      <c r="C1" s="113"/>
      <c r="D1" s="113"/>
      <c r="E1" s="113"/>
      <c r="F1" s="113"/>
      <c r="G1" s="113"/>
      <c r="H1" s="113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38.25">
      <c r="A4" s="19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13</v>
      </c>
    </row>
    <row r="5" spans="1:8" ht="50.25">
      <c r="A5" s="19" t="s">
        <v>118</v>
      </c>
      <c r="B5" s="19" t="str">
        <f>Seguimiento!B20</f>
        <v>Control de stock mínimo / máximo</v>
      </c>
      <c r="C5" s="19"/>
      <c r="D5" s="19"/>
      <c r="E5" s="19"/>
      <c r="F5" s="19"/>
      <c r="G5" s="19"/>
      <c r="H5" s="19"/>
    </row>
    <row r="6" spans="1:8" ht="163.5">
      <c r="A6" s="19" t="s">
        <v>119</v>
      </c>
      <c r="B6" s="19" t="str">
        <f>Seguimiento!C20</f>
        <v>Verificación de existencias de materiales requeridos para los servicios de Ingeniería Eléctrica</v>
      </c>
      <c r="C6" s="19"/>
      <c r="D6" s="19"/>
      <c r="E6" s="19"/>
      <c r="F6" s="19"/>
      <c r="G6" s="19"/>
      <c r="H6" s="19"/>
    </row>
    <row r="7" spans="1:8" ht="214.5">
      <c r="A7" s="19" t="s">
        <v>11</v>
      </c>
      <c r="B7" s="19" t="str">
        <f>Seguimiento!D20</f>
        <v>100% de los materiales críticos controlados dentro de los mínimos y máximos definidos; faltantes identificados y reportados</v>
      </c>
      <c r="C7" s="19"/>
      <c r="D7" s="19"/>
      <c r="E7" s="19"/>
      <c r="F7" s="19"/>
      <c r="G7" s="19"/>
      <c r="H7" s="19"/>
    </row>
    <row r="8" spans="1:8" ht="25.5">
      <c r="A8" s="19" t="s">
        <v>120</v>
      </c>
      <c r="B8" s="19" t="str">
        <f>IF(Seguimiento!E20,"Cumplido",IF(Seguimiento!F20,"N/A","Pendiente"))</f>
        <v>Pendiente</v>
      </c>
      <c r="C8" s="19" t="s">
        <v>12</v>
      </c>
      <c r="D8" s="19" t="str">
        <f>IF(Seguimiento!E20,"Sí","No")</f>
        <v>No</v>
      </c>
      <c r="E8" s="19" t="s">
        <v>13</v>
      </c>
      <c r="F8" s="19" t="str">
        <f>IF(Seguimiento!F20,"Sí","No")</f>
        <v>No</v>
      </c>
      <c r="G8" s="19"/>
      <c r="H8" s="19"/>
    </row>
    <row r="9" spans="1:8" ht="63">
      <c r="A9" s="19" t="s">
        <v>121</v>
      </c>
      <c r="B9" s="19" t="str">
        <f>IF(Seguimiento!E20,"Control mensual completado",IF(Seguimiento!F20,"Indicador no aplicable en el periodo","Requiere seguimiento"))</f>
        <v>Requiere seguimiento</v>
      </c>
      <c r="C9" s="19"/>
      <c r="D9" s="19"/>
      <c r="E9" s="19"/>
      <c r="F9" s="19"/>
      <c r="G9" s="19"/>
      <c r="H9" s="19"/>
    </row>
    <row r="10" spans="1:8" ht="38.25">
      <c r="A10" s="19" t="s">
        <v>122</v>
      </c>
      <c r="B10" s="19">
        <f>Seguimiento!G20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13" t="s">
        <v>123</v>
      </c>
      <c r="B12" s="113"/>
      <c r="C12" s="113"/>
      <c r="D12" s="113"/>
      <c r="E12" s="113"/>
      <c r="F12" s="113"/>
      <c r="G12" s="113"/>
      <c r="H12" s="113"/>
    </row>
    <row r="13" spans="1:8" ht="50.25">
      <c r="A13" s="19" t="s">
        <v>5</v>
      </c>
      <c r="B13" s="19" t="s">
        <v>124</v>
      </c>
      <c r="C13" s="19" t="s">
        <v>117</v>
      </c>
      <c r="D13" s="19" t="s">
        <v>75</v>
      </c>
      <c r="E13" s="19" t="s">
        <v>125</v>
      </c>
      <c r="F13" s="19" t="s">
        <v>126</v>
      </c>
      <c r="G13" s="19" t="s">
        <v>127</v>
      </c>
      <c r="H13" s="19" t="s">
        <v>128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A1C84A49-CA7B-4EE3-B7A8-8C0D0F77B900}">
      <formula1>"Pendiente,En proceso,Cumplido,N/A"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1774-75B3-498A-A8CC-A4CD38A53528}">
  <sheetPr>
    <tabColor rgb="FF0F6B6D"/>
  </sheetPr>
  <dimension ref="A1:H25"/>
  <sheetViews>
    <sheetView showGridLines="0" workbookViewId="0"/>
  </sheetViews>
  <sheetFormatPr defaultRowHeight="15"/>
  <cols>
    <col min="1" max="1" width="9" bestFit="1" customWidth="1"/>
    <col min="2" max="2" width="36.140625" customWidth="1"/>
    <col min="3" max="3" width="8.7109375" bestFit="1" customWidth="1"/>
    <col min="4" max="4" width="9.140625" bestFit="1" customWidth="1"/>
    <col min="5" max="6" width="8.85546875" bestFit="1" customWidth="1"/>
    <col min="7" max="7" width="7.140625" bestFit="1" customWidth="1"/>
    <col min="8" max="8" width="9" bestFit="1" customWidth="1"/>
  </cols>
  <sheetData>
    <row r="1" spans="1:8">
      <c r="A1" s="113" t="s">
        <v>392</v>
      </c>
      <c r="B1" s="113"/>
      <c r="C1" s="113"/>
      <c r="D1" s="113"/>
      <c r="E1" s="113"/>
      <c r="F1" s="113"/>
      <c r="G1" s="113"/>
      <c r="H1" s="113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38.25">
      <c r="A4" s="19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14</v>
      </c>
    </row>
    <row r="5" spans="1:8" ht="50.25">
      <c r="A5" s="19" t="s">
        <v>118</v>
      </c>
      <c r="B5" s="19" t="str">
        <f>Seguimiento!B21</f>
        <v>Procesos (Personal, Inventarios y ARESEP) y normativa</v>
      </c>
      <c r="C5" s="19"/>
      <c r="D5" s="19"/>
      <c r="E5" s="19"/>
      <c r="F5" s="19"/>
      <c r="G5" s="19"/>
      <c r="H5" s="19"/>
    </row>
    <row r="6" spans="1:8" ht="163.5">
      <c r="A6" s="19" t="s">
        <v>119</v>
      </c>
      <c r="B6" s="19" t="str">
        <f>Seguimiento!C21</f>
        <v>Mejorar los procesos actuando sobre los requerimientos actualizados</v>
      </c>
      <c r="C6" s="19"/>
      <c r="D6" s="19"/>
      <c r="E6" s="19"/>
      <c r="F6" s="19"/>
      <c r="G6" s="19"/>
      <c r="H6" s="19"/>
    </row>
    <row r="7" spans="1:8" ht="214.5">
      <c r="A7" s="19" t="s">
        <v>11</v>
      </c>
      <c r="B7" s="19" t="str">
        <f>Seguimiento!D21</f>
        <v>100% de compromisos en plazo</v>
      </c>
      <c r="C7" s="19"/>
      <c r="D7" s="19"/>
      <c r="E7" s="19"/>
      <c r="F7" s="19"/>
      <c r="G7" s="19"/>
      <c r="H7" s="19"/>
    </row>
    <row r="8" spans="1:8" ht="25.5">
      <c r="A8" s="19" t="s">
        <v>120</v>
      </c>
      <c r="B8" s="19" t="str">
        <f>IF(Seguimiento!E21,"Cumplido",IF(Seguimiento!F21,"N/A","Pendiente"))</f>
        <v>Pendiente</v>
      </c>
      <c r="C8" s="19" t="s">
        <v>12</v>
      </c>
      <c r="D8" s="19" t="str">
        <f>IF(Seguimiento!E21,"Sí","No")</f>
        <v>No</v>
      </c>
      <c r="E8" s="19" t="s">
        <v>13</v>
      </c>
      <c r="F8" s="19" t="str">
        <f>IF(Seguimiento!F21,"Sí","No")</f>
        <v>No</v>
      </c>
      <c r="G8" s="19"/>
      <c r="H8" s="19"/>
    </row>
    <row r="9" spans="1:8" ht="63">
      <c r="A9" s="19" t="s">
        <v>121</v>
      </c>
      <c r="B9" s="19" t="str">
        <f>IF(Seguimiento!E21,"Control mensual completado",IF(Seguimiento!F21,"Indicador no aplicable en el periodo","Requiere seguimiento"))</f>
        <v>Requiere seguimiento</v>
      </c>
      <c r="C9" s="19"/>
      <c r="D9" s="19"/>
      <c r="E9" s="19"/>
      <c r="F9" s="19"/>
      <c r="G9" s="19"/>
      <c r="H9" s="19"/>
    </row>
    <row r="10" spans="1:8" ht="38.25">
      <c r="A10" s="19" t="s">
        <v>122</v>
      </c>
      <c r="B10" s="19">
        <f>Seguimiento!G21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13" t="s">
        <v>123</v>
      </c>
      <c r="B12" s="113"/>
      <c r="C12" s="113"/>
      <c r="D12" s="113"/>
      <c r="E12" s="113"/>
      <c r="F12" s="113"/>
      <c r="G12" s="113"/>
      <c r="H12" s="113"/>
    </row>
    <row r="13" spans="1:8" ht="50.25">
      <c r="A13" s="19" t="s">
        <v>5</v>
      </c>
      <c r="B13" s="19" t="s">
        <v>124</v>
      </c>
      <c r="C13" s="19" t="s">
        <v>117</v>
      </c>
      <c r="D13" s="19" t="s">
        <v>75</v>
      </c>
      <c r="E13" s="19" t="s">
        <v>125</v>
      </c>
      <c r="F13" s="19" t="s">
        <v>126</v>
      </c>
      <c r="G13" s="19" t="s">
        <v>127</v>
      </c>
      <c r="H13" s="19" t="s">
        <v>128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A1BC4341-718F-4684-99BB-F2B17F4FFF57}">
      <formula1>"Pendiente,En proceso,Cumplido,N/A"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9DAC-4C0C-4AA5-8890-8380E7F8D2CE}">
  <sheetPr>
    <tabColor rgb="FF0F6B6D"/>
  </sheetPr>
  <dimension ref="A1:H25"/>
  <sheetViews>
    <sheetView showGridLines="0" workbookViewId="0"/>
  </sheetViews>
  <sheetFormatPr defaultRowHeight="15"/>
  <cols>
    <col min="1" max="1" width="9" bestFit="1" customWidth="1"/>
    <col min="2" max="2" width="36.140625" customWidth="1"/>
    <col min="3" max="3" width="8.7109375" bestFit="1" customWidth="1"/>
    <col min="4" max="4" width="9.140625" bestFit="1" customWidth="1"/>
    <col min="5" max="6" width="8.85546875" bestFit="1" customWidth="1"/>
    <col min="7" max="7" width="7.140625" bestFit="1" customWidth="1"/>
    <col min="8" max="8" width="9" bestFit="1" customWidth="1"/>
  </cols>
  <sheetData>
    <row r="1" spans="1:8">
      <c r="A1" s="113" t="s">
        <v>393</v>
      </c>
      <c r="B1" s="113"/>
      <c r="C1" s="113"/>
      <c r="D1" s="113"/>
      <c r="E1" s="113"/>
      <c r="F1" s="113"/>
      <c r="G1" s="113"/>
      <c r="H1" s="113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38.25">
      <c r="A4" s="19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15</v>
      </c>
    </row>
    <row r="5" spans="1:8" ht="50.25">
      <c r="A5" s="19" t="s">
        <v>118</v>
      </c>
      <c r="B5" s="19" t="str">
        <f>Seguimiento!B22</f>
        <v>Control de compras y materiales</v>
      </c>
      <c r="C5" s="19"/>
      <c r="D5" s="19"/>
      <c r="E5" s="19"/>
      <c r="F5" s="19"/>
      <c r="G5" s="19"/>
      <c r="H5" s="19"/>
    </row>
    <row r="6" spans="1:8" ht="163.5">
      <c r="A6" s="19" t="s">
        <v>119</v>
      </c>
      <c r="B6" s="19" t="str">
        <f>Seguimiento!C22</f>
        <v>Seguimiento de solicitudes de compra, órdenes, recepción y entrega de materiales</v>
      </c>
      <c r="C6" s="19"/>
      <c r="D6" s="19"/>
      <c r="E6" s="19"/>
      <c r="F6" s="19"/>
      <c r="G6" s="19"/>
      <c r="H6" s="19"/>
    </row>
    <row r="7" spans="1:8" ht="214.5">
      <c r="A7" s="19" t="s">
        <v>11</v>
      </c>
      <c r="B7" s="19" t="str">
        <f>Seguimiento!D22</f>
        <v>100% de las solicitudes de compra asignadas con seguimiento hasta su recepción o cierre.</v>
      </c>
      <c r="C7" s="19"/>
      <c r="D7" s="19"/>
      <c r="E7" s="19"/>
      <c r="F7" s="19"/>
      <c r="G7" s="19"/>
      <c r="H7" s="19"/>
    </row>
    <row r="8" spans="1:8" ht="25.5">
      <c r="A8" s="19" t="s">
        <v>120</v>
      </c>
      <c r="B8" s="19" t="str">
        <f>IF(Seguimiento!E22,"Cumplido",IF(Seguimiento!F22,"N/A","Pendiente"))</f>
        <v>Pendiente</v>
      </c>
      <c r="C8" s="19" t="s">
        <v>12</v>
      </c>
      <c r="D8" s="19" t="str">
        <f>IF(Seguimiento!E22,"Sí","No")</f>
        <v>No</v>
      </c>
      <c r="E8" s="19" t="s">
        <v>13</v>
      </c>
      <c r="F8" s="19" t="str">
        <f>IF(Seguimiento!F22,"Sí","No")</f>
        <v>No</v>
      </c>
      <c r="G8" s="19"/>
      <c r="H8" s="19"/>
    </row>
    <row r="9" spans="1:8" ht="63">
      <c r="A9" s="19" t="s">
        <v>121</v>
      </c>
      <c r="B9" s="19" t="str">
        <f>IF(Seguimiento!E22,"Control mensual completado",IF(Seguimiento!F22,"Indicador no aplicable en el periodo","Requiere seguimiento"))</f>
        <v>Requiere seguimiento</v>
      </c>
      <c r="C9" s="19"/>
      <c r="D9" s="19"/>
      <c r="E9" s="19"/>
      <c r="F9" s="19"/>
      <c r="G9" s="19"/>
      <c r="H9" s="19"/>
    </row>
    <row r="10" spans="1:8" ht="38.25">
      <c r="A10" s="19" t="s">
        <v>122</v>
      </c>
      <c r="B10" s="19">
        <f>Seguimiento!G22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13" t="s">
        <v>123</v>
      </c>
      <c r="B12" s="113"/>
      <c r="C12" s="113"/>
      <c r="D12" s="113"/>
      <c r="E12" s="113"/>
      <c r="F12" s="113"/>
      <c r="G12" s="113"/>
      <c r="H12" s="113"/>
    </row>
    <row r="13" spans="1:8" ht="50.25">
      <c r="A13" s="19" t="s">
        <v>5</v>
      </c>
      <c r="B13" s="19" t="s">
        <v>124</v>
      </c>
      <c r="C13" s="19" t="s">
        <v>117</v>
      </c>
      <c r="D13" s="19" t="s">
        <v>75</v>
      </c>
      <c r="E13" s="19" t="s">
        <v>125</v>
      </c>
      <c r="F13" s="19" t="s">
        <v>126</v>
      </c>
      <c r="G13" s="19" t="s">
        <v>127</v>
      </c>
      <c r="H13" s="19" t="s">
        <v>128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86EE2B54-500D-4E7D-B6D8-6DA222DEA8EA}">
      <formula1>"Pendiente,En proceso,Cumplido,N/A"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9BBA-AF2C-4150-A9E0-993779E8C6CC}">
  <sheetPr>
    <tabColor rgb="FF0F6B6D"/>
  </sheetPr>
  <dimension ref="A1:H25"/>
  <sheetViews>
    <sheetView showGridLines="0" topLeftCell="A13" workbookViewId="0"/>
  </sheetViews>
  <sheetFormatPr defaultRowHeight="15"/>
  <cols>
    <col min="1" max="1" width="9" bestFit="1" customWidth="1"/>
    <col min="2" max="2" width="36.140625" customWidth="1"/>
    <col min="3" max="3" width="8.7109375" bestFit="1" customWidth="1"/>
    <col min="4" max="4" width="9.140625" bestFit="1" customWidth="1"/>
    <col min="5" max="6" width="8.85546875" bestFit="1" customWidth="1"/>
    <col min="7" max="7" width="7.140625" bestFit="1" customWidth="1"/>
    <col min="8" max="8" width="9" bestFit="1" customWidth="1"/>
  </cols>
  <sheetData>
    <row r="1" spans="1:8">
      <c r="A1" s="113" t="s">
        <v>394</v>
      </c>
      <c r="B1" s="113"/>
      <c r="C1" s="113"/>
      <c r="D1" s="113"/>
      <c r="E1" s="113"/>
      <c r="F1" s="113"/>
      <c r="G1" s="113"/>
      <c r="H1" s="113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38.25">
      <c r="A4" s="19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16</v>
      </c>
    </row>
    <row r="5" spans="1:8" ht="50.25">
      <c r="A5" s="19" t="s">
        <v>118</v>
      </c>
      <c r="B5" s="19" t="str">
        <f>Seguimiento!B23</f>
        <v>Elaboración de presupuestos de proyectos eléctricos</v>
      </c>
      <c r="C5" s="19"/>
      <c r="D5" s="19"/>
      <c r="E5" s="19"/>
      <c r="F5" s="19"/>
      <c r="G5" s="19"/>
      <c r="H5" s="19"/>
    </row>
    <row r="6" spans="1:8" ht="163.5">
      <c r="A6" s="19" t="s">
        <v>119</v>
      </c>
      <c r="B6" s="19" t="str">
        <f>Seguimiento!C23</f>
        <v>Preparación de materiales, cantidades, costos y presupuesto por proyecto</v>
      </c>
      <c r="C6" s="19"/>
      <c r="D6" s="19"/>
      <c r="E6" s="19"/>
      <c r="F6" s="19"/>
      <c r="G6" s="19"/>
      <c r="H6" s="19"/>
    </row>
    <row r="7" spans="1:8" ht="214.5">
      <c r="A7" s="19" t="s">
        <v>11</v>
      </c>
      <c r="B7" s="19" t="str">
        <f>Seguimiento!D23</f>
        <v>100% de los proyectos asignados con presupuesto elaborado.</v>
      </c>
      <c r="C7" s="19"/>
      <c r="D7" s="19"/>
      <c r="E7" s="19"/>
      <c r="F7" s="19"/>
      <c r="G7" s="19"/>
      <c r="H7" s="19"/>
    </row>
    <row r="8" spans="1:8" ht="25.5">
      <c r="A8" s="19" t="s">
        <v>120</v>
      </c>
      <c r="B8" s="19" t="str">
        <f>IF(Seguimiento!E23,"Cumplido",IF(Seguimiento!F23,"N/A","Pendiente"))</f>
        <v>Pendiente</v>
      </c>
      <c r="C8" s="19" t="s">
        <v>12</v>
      </c>
      <c r="D8" s="19" t="str">
        <f>IF(Seguimiento!E23,"Sí","No")</f>
        <v>No</v>
      </c>
      <c r="E8" s="19" t="s">
        <v>13</v>
      </c>
      <c r="F8" s="19" t="str">
        <f>IF(Seguimiento!F23,"Sí","No")</f>
        <v>No</v>
      </c>
      <c r="G8" s="19"/>
      <c r="H8" s="19"/>
    </row>
    <row r="9" spans="1:8" ht="63">
      <c r="A9" s="19" t="s">
        <v>121</v>
      </c>
      <c r="B9" s="19" t="str">
        <f>IF(Seguimiento!E23,"Control mensual completado",IF(Seguimiento!F23,"Indicador no aplicable en el periodo","Requiere seguimiento"))</f>
        <v>Requiere seguimiento</v>
      </c>
      <c r="C9" s="19"/>
      <c r="D9" s="19"/>
      <c r="E9" s="19"/>
      <c r="F9" s="19"/>
      <c r="G9" s="19"/>
      <c r="H9" s="19"/>
    </row>
    <row r="10" spans="1:8" ht="38.25">
      <c r="A10" s="19" t="s">
        <v>122</v>
      </c>
      <c r="B10" s="19">
        <f>Seguimiento!G23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13" t="s">
        <v>123</v>
      </c>
      <c r="B12" s="113"/>
      <c r="C12" s="113"/>
      <c r="D12" s="113"/>
      <c r="E12" s="113"/>
      <c r="F12" s="113"/>
      <c r="G12" s="113"/>
      <c r="H12" s="113"/>
    </row>
    <row r="13" spans="1:8" ht="50.25">
      <c r="A13" s="19" t="s">
        <v>5</v>
      </c>
      <c r="B13" s="19" t="s">
        <v>124</v>
      </c>
      <c r="C13" s="19" t="s">
        <v>117</v>
      </c>
      <c r="D13" s="19" t="s">
        <v>75</v>
      </c>
      <c r="E13" s="19" t="s">
        <v>125</v>
      </c>
      <c r="F13" s="19" t="s">
        <v>126</v>
      </c>
      <c r="G13" s="19" t="s">
        <v>127</v>
      </c>
      <c r="H13" s="19" t="s">
        <v>128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B28C1F8F-D4D4-42A4-B575-48334142809D}">
      <formula1>"Pendiente,En proceso,Cumplido,N/A"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17D5-C0B4-4967-8D18-3593D5F56F41}">
  <sheetPr>
    <tabColor rgb="FF0F6B6D"/>
  </sheetPr>
  <dimension ref="A1:H25"/>
  <sheetViews>
    <sheetView showGridLines="0" tabSelected="1" topLeftCell="A17" workbookViewId="0">
      <selection activeCell="F29" sqref="F29"/>
    </sheetView>
  </sheetViews>
  <sheetFormatPr defaultRowHeight="15"/>
  <cols>
    <col min="1" max="1" width="32.7109375" customWidth="1"/>
    <col min="2" max="2" width="36.140625" customWidth="1"/>
    <col min="3" max="3" width="8.7109375" bestFit="1" customWidth="1"/>
    <col min="4" max="4" width="9.140625" bestFit="1" customWidth="1"/>
    <col min="5" max="6" width="8.85546875" bestFit="1" customWidth="1"/>
    <col min="7" max="7" width="7.140625" bestFit="1" customWidth="1"/>
    <col min="8" max="8" width="9" bestFit="1" customWidth="1"/>
  </cols>
  <sheetData>
    <row r="1" spans="1:8">
      <c r="A1" s="113" t="s">
        <v>395</v>
      </c>
      <c r="B1" s="113"/>
      <c r="C1" s="113"/>
      <c r="D1" s="113"/>
      <c r="E1" s="113"/>
      <c r="F1" s="113"/>
      <c r="G1" s="113"/>
      <c r="H1" s="113"/>
    </row>
    <row r="2" spans="1:8">
      <c r="A2" s="113" t="s">
        <v>115</v>
      </c>
      <c r="B2" s="113"/>
      <c r="C2" s="113"/>
      <c r="D2" s="113"/>
      <c r="E2" s="113"/>
      <c r="F2" s="113"/>
      <c r="G2" s="113"/>
      <c r="H2" s="113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 ht="38.25">
      <c r="A4" s="19" t="s">
        <v>116</v>
      </c>
      <c r="B4" s="17">
        <f>Seguimiento!B3</f>
        <v>46266</v>
      </c>
      <c r="C4" s="19" t="s">
        <v>5</v>
      </c>
      <c r="D4" s="18">
        <f>Seguimiento!B4</f>
        <v>46295</v>
      </c>
      <c r="E4" s="19" t="s">
        <v>117</v>
      </c>
      <c r="F4" s="19" t="str">
        <f>Seguimiento!E3</f>
        <v>Emerson Garita López</v>
      </c>
      <c r="G4" s="19" t="s">
        <v>8</v>
      </c>
      <c r="H4" s="19">
        <v>17</v>
      </c>
    </row>
    <row r="5" spans="1:8" ht="50.25">
      <c r="A5" s="19" t="s">
        <v>118</v>
      </c>
      <c r="B5" s="19" t="str">
        <f>Seguimiento!B24</f>
        <v>Diseño de redes eléctricas</v>
      </c>
      <c r="C5" s="19"/>
      <c r="D5" s="19"/>
      <c r="E5" s="19"/>
      <c r="F5" s="19"/>
      <c r="G5" s="19"/>
      <c r="H5" s="19"/>
    </row>
    <row r="6" spans="1:8" ht="163.5">
      <c r="A6" s="19" t="s">
        <v>119</v>
      </c>
      <c r="B6" s="19" t="str">
        <f>Seguimiento!C24</f>
        <v>Apoyo en elaboración, revisión y actualización de diseños de MT, BT y servicios</v>
      </c>
      <c r="C6" s="19"/>
      <c r="D6" s="19"/>
      <c r="E6" s="19"/>
      <c r="F6" s="19"/>
      <c r="G6" s="19"/>
      <c r="H6" s="19"/>
    </row>
    <row r="7" spans="1:8" ht="214.5">
      <c r="A7" s="19" t="s">
        <v>11</v>
      </c>
      <c r="B7" s="19" t="str">
        <f>Seguimiento!D24</f>
        <v>100% de los diseños asignados elaborados dentro del plazo establecido</v>
      </c>
      <c r="C7" s="19"/>
      <c r="D7" s="19"/>
      <c r="E7" s="19"/>
      <c r="F7" s="19"/>
      <c r="G7" s="19"/>
      <c r="H7" s="19"/>
    </row>
    <row r="8" spans="1:8" ht="25.5">
      <c r="A8" s="19" t="s">
        <v>120</v>
      </c>
      <c r="B8" s="19" t="str">
        <f>IF(Seguimiento!E24,"Cumplido",IF(Seguimiento!F24,"N/A","Pendiente"))</f>
        <v>Pendiente</v>
      </c>
      <c r="C8" s="19" t="s">
        <v>12</v>
      </c>
      <c r="D8" s="19" t="str">
        <f>IF(Seguimiento!E24,"Sí","No")</f>
        <v>No</v>
      </c>
      <c r="E8" s="19" t="s">
        <v>13</v>
      </c>
      <c r="F8" s="19" t="str">
        <f>IF(Seguimiento!F24,"Sí","No")</f>
        <v>No</v>
      </c>
      <c r="G8" s="19"/>
      <c r="H8" s="19"/>
    </row>
    <row r="9" spans="1:8" ht="63">
      <c r="A9" s="19" t="s">
        <v>121</v>
      </c>
      <c r="B9" s="19" t="str">
        <f>IF(Seguimiento!E24,"Control mensual completado",IF(Seguimiento!F24,"Indicador no aplicable en el periodo","Requiere seguimiento"))</f>
        <v>Requiere seguimiento</v>
      </c>
      <c r="C9" s="19"/>
      <c r="D9" s="19"/>
      <c r="E9" s="19"/>
      <c r="F9" s="19"/>
      <c r="G9" s="19"/>
      <c r="H9" s="19"/>
    </row>
    <row r="10" spans="1:8" ht="38.25">
      <c r="A10" s="19" t="s">
        <v>122</v>
      </c>
      <c r="B10" s="19">
        <f>Seguimiento!G24</f>
        <v>0</v>
      </c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13" t="s">
        <v>123</v>
      </c>
      <c r="B12" s="113"/>
      <c r="C12" s="113"/>
      <c r="D12" s="113"/>
      <c r="E12" s="113"/>
      <c r="F12" s="113"/>
      <c r="G12" s="113"/>
      <c r="H12" s="113"/>
    </row>
    <row r="13" spans="1:8" ht="50.25">
      <c r="A13" s="19" t="s">
        <v>5</v>
      </c>
      <c r="B13" s="19" t="s">
        <v>124</v>
      </c>
      <c r="C13" s="19" t="s">
        <v>117</v>
      </c>
      <c r="D13" s="19" t="s">
        <v>75</v>
      </c>
      <c r="E13" s="19" t="s">
        <v>125</v>
      </c>
      <c r="F13" s="19" t="s">
        <v>126</v>
      </c>
      <c r="G13" s="19" t="s">
        <v>127</v>
      </c>
      <c r="H13" s="19" t="s">
        <v>128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3">
    <mergeCell ref="A1:H1"/>
    <mergeCell ref="A2:H2"/>
    <mergeCell ref="A12:H12"/>
  </mergeCells>
  <dataValidations count="1">
    <dataValidation type="list" allowBlank="1" showInputMessage="1" showErrorMessage="1" sqref="D14:D25" xr:uid="{F96D6299-27D4-44A7-93FF-38E93E3B822F}">
      <formula1>"Pendiente,En proceso,Cumplido,N/A"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02D-C304-479E-8B85-73CBDE2AB253}">
  <dimension ref="A1:I10"/>
  <sheetViews>
    <sheetView workbookViewId="0"/>
  </sheetViews>
  <sheetFormatPr defaultRowHeight="15"/>
  <cols>
    <col min="1" max="1" width="29.5703125" bestFit="1" customWidth="1"/>
    <col min="2" max="2" width="17.140625" bestFit="1" customWidth="1"/>
  </cols>
  <sheetData>
    <row r="1" spans="1:9">
      <c r="A1" s="63" t="s">
        <v>157</v>
      </c>
      <c r="B1" s="63" t="s">
        <v>86</v>
      </c>
      <c r="D1" t="s">
        <v>75</v>
      </c>
      <c r="E1" t="s">
        <v>341</v>
      </c>
      <c r="G1" t="s">
        <v>74</v>
      </c>
      <c r="H1" t="s">
        <v>396</v>
      </c>
      <c r="I1" t="s">
        <v>63</v>
      </c>
    </row>
    <row r="2" spans="1:9">
      <c r="A2" t="s">
        <v>164</v>
      </c>
      <c r="B2" s="62">
        <f>SUMIF(TablaTardias[Empleado],A2,TablaTardias[Minutos de tardía])</f>
        <v>0</v>
      </c>
      <c r="D2" t="s">
        <v>396</v>
      </c>
      <c r="E2">
        <f>Seguimiento!B30</f>
        <v>9</v>
      </c>
      <c r="G2" t="s">
        <v>81</v>
      </c>
      <c r="H2">
        <f>COUNTIF(Seguimiento!E7:E18,TRUE)</f>
        <v>9</v>
      </c>
      <c r="I2">
        <f>12-H2-COUNTIF(Seguimiento!F7:F18,TRUE)</f>
        <v>3</v>
      </c>
    </row>
    <row r="3" spans="1:9">
      <c r="A3" t="s">
        <v>166</v>
      </c>
      <c r="B3" s="62">
        <f>SUMIF(TablaTardias[Empleado],A3,TablaTardias[Minutos de tardía])</f>
        <v>0</v>
      </c>
      <c r="D3" t="s">
        <v>63</v>
      </c>
      <c r="E3">
        <f>Seguimiento!D30</f>
        <v>8</v>
      </c>
      <c r="G3" t="s">
        <v>103</v>
      </c>
      <c r="H3">
        <f>COUNTIF(Seguimiento!E20:E24,TRUE)</f>
        <v>0</v>
      </c>
      <c r="I3">
        <f>5-H3-COUNTIF(Seguimiento!F20:F24,TRUE)</f>
        <v>5</v>
      </c>
    </row>
    <row r="4" spans="1:9">
      <c r="A4" t="s">
        <v>169</v>
      </c>
      <c r="B4" s="62">
        <f>SUMIF(TablaTardias[Empleado],A4,TablaTardias[Minutos de tardía])</f>
        <v>0</v>
      </c>
      <c r="D4" t="s">
        <v>13</v>
      </c>
      <c r="E4">
        <f>Seguimiento!F30</f>
        <v>0</v>
      </c>
    </row>
    <row r="5" spans="1:9">
      <c r="A5" t="s">
        <v>172</v>
      </c>
      <c r="B5" s="62">
        <f>SUMIF(TablaTardias[Empleado],A5,TablaTardias[Minutos de tardía])</f>
        <v>0</v>
      </c>
    </row>
    <row r="6" spans="1:9">
      <c r="A6" t="s">
        <v>174</v>
      </c>
      <c r="B6" s="62">
        <f>SUMIF(TablaTardias[Empleado],A6,TablaTardias[Minutos de tardía])</f>
        <v>0</v>
      </c>
      <c r="D6" t="s">
        <v>397</v>
      </c>
      <c r="E6" t="s">
        <v>341</v>
      </c>
      <c r="G6" t="s">
        <v>192</v>
      </c>
      <c r="H6" t="s">
        <v>194</v>
      </c>
    </row>
    <row r="7" spans="1:9">
      <c r="A7" t="s">
        <v>161</v>
      </c>
      <c r="B7" s="62">
        <f>SUMIF(TablaTardias[Empleado],A7,TablaTardias[Minutos de tardía])</f>
        <v>0</v>
      </c>
      <c r="D7" t="s">
        <v>131</v>
      </c>
      <c r="E7">
        <f>'12 Registro proyectos'!B22</f>
        <v>4</v>
      </c>
      <c r="G7" t="s">
        <v>196</v>
      </c>
      <c r="H7" s="157">
        <f>'04 Herramientas móviles'!E19</f>
        <v>0.97799999999999998</v>
      </c>
    </row>
    <row r="8" spans="1:9">
      <c r="D8" t="s">
        <v>346</v>
      </c>
      <c r="E8">
        <f>'12 Registro proyectos'!B23</f>
        <v>3</v>
      </c>
      <c r="G8" t="s">
        <v>199</v>
      </c>
      <c r="H8" s="157">
        <f>'04 Herramientas móviles'!E20</f>
        <v>0.95699999999999996</v>
      </c>
    </row>
    <row r="9" spans="1:9">
      <c r="D9" t="s">
        <v>349</v>
      </c>
      <c r="E9">
        <f>'12 Registro proyectos'!B24</f>
        <v>1</v>
      </c>
      <c r="G9" t="s">
        <v>201</v>
      </c>
      <c r="H9" s="157">
        <f>'04 Herramientas móviles'!E21</f>
        <v>0.109</v>
      </c>
    </row>
    <row r="10" spans="1:9">
      <c r="D10" t="s">
        <v>62</v>
      </c>
      <c r="E10">
        <v>8</v>
      </c>
      <c r="G10" t="s">
        <v>204</v>
      </c>
      <c r="H10" s="157">
        <f>'04 Herramientas móviles'!E22</f>
        <v>0.95699999999999996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Seguimiento mensual - checklist de cumplimiento</dc:title>
  <dc:subject>Control mensual de responsabilidades</dc:subject>
  <dc:creator>OpenAI</dc:creator>
  <cp:keywords/>
  <dc:description>Checklist interactivo con casillas y barra de cumplimiento.</dc:description>
  <cp:lastModifiedBy/>
  <cp:revision/>
  <dcterms:created xsi:type="dcterms:W3CDTF">2026-09-20T21:14:26Z</dcterms:created>
  <dcterms:modified xsi:type="dcterms:W3CDTF">2026-10-05T22:06:51Z</dcterms:modified>
  <cp:category/>
  <cp:contentStatus/>
</cp:coreProperties>
</file>